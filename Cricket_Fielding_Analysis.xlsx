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Info" sheetId="1" state="visible" r:id="rId3"/>
    <sheet name="Legend" sheetId="2" state="visible" r:id="rId4"/>
    <sheet name="Raw Fielding Data" sheetId="3" state="visible" r:id="rId5"/>
    <sheet name="Performance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<sst xmlns="http://schemas.openxmlformats.org/spreadsheetml/2006/main" count="380" uniqueCount="199">
  <si>
    <t xml:space="preserve">Cricket Fielding Performance Analysis</t>
  </si>
  <si>
    <t xml:space="preserve">Match</t>
  </si>
  <si>
    <t xml:space="preserve">ICC Women's T20 World Cup 2026 — 11th Match, Group 1</t>
  </si>
  <si>
    <t xml:space="preserve">Teams</t>
  </si>
  <si>
    <t xml:space="preserve">Pakistan Women vs South Africa Women</t>
  </si>
  <si>
    <t xml:space="preserve">Venue</t>
  </si>
  <si>
    <t xml:space="preserve">Edgbaston, Birmingham, England</t>
  </si>
  <si>
    <t xml:space="preserve">Date</t>
  </si>
  <si>
    <t xml:space="preserve">17 June 2026 (D/N)</t>
  </si>
  <si>
    <t xml:space="preserve">Result</t>
  </si>
  <si>
    <t xml:space="preserve">South Africa Women won by 2 wickets (19 balls remaining)</t>
  </si>
  <si>
    <t xml:space="preserve">Innings analysed</t>
  </si>
  <si>
    <t xml:space="preserve">2nd Innings — South Africa Women batting, chasing 127 (Pakistan fielding)</t>
  </si>
  <si>
    <t xml:space="preserve">Pakistan total (1st innings)</t>
  </si>
  <si>
    <t xml:space="preserve">126/9 in 20 overs (Fatima Sana 55* off 38)</t>
  </si>
  <si>
    <t xml:space="preserve">South Africa total (2nd innings)</t>
  </si>
  <si>
    <t xml:space="preserve">127/8 in 16.5 overs (Annerie Dercksen 52 off 35)</t>
  </si>
  <si>
    <t xml:space="preserve">Players analysed</t>
  </si>
  <si>
    <t xml:space="preserve">Tuba Hassan, Sadia Iqbal, Fatima Sana (Pakistan fielders)</t>
  </si>
  <si>
    <t xml:space="preserve">Data source</t>
  </si>
  <si>
    <t xml:space="preserve">Reconstructed from published match reports and ball-by-ball commentary (ESPNcricinfo, ICC, Olympics.com). Event sequencing follows reported match narrative; exact ball-level fielding detail not publicly tabulated and has been reasonably reconstructed for analytical demonstration purposes.</t>
  </si>
  <si>
    <t xml:space="preserve">How to use this workbook</t>
  </si>
  <si>
    <t xml:space="preserve">1. 'Legend' sheet defines every coded category used in the Pick and Throw columns.</t>
  </si>
  <si>
    <t xml:space="preserve">2. 'Raw Fielding Data' sheet contains the ball-by-ball log — one row per fielding-relevant delivery.</t>
  </si>
  <si>
    <t xml:space="preserve">3. 'Performance Matrix' sheet auto-calculates each player's totals and Performance Score (PS) from the raw data using SUMIFS formulas — it updates automatically if you edit the raw data.</t>
  </si>
  <si>
    <t xml:space="preserve">4. The PS formula and weights are shown at the bottom of the Performance Matrix sheet.</t>
  </si>
  <si>
    <t xml:space="preserve">Category Legend</t>
  </si>
  <si>
    <t xml:space="preserve">PICK categories</t>
  </si>
  <si>
    <t xml:space="preserve">Code</t>
  </si>
  <si>
    <t xml:space="preserve">Meaning</t>
  </si>
  <si>
    <t xml:space="preserve">Scoring impact</t>
  </si>
  <si>
    <t xml:space="preserve">Clean Pick</t>
  </si>
  <si>
    <t xml:space="preserve">Fielder gathers the ball cleanly with no fumble</t>
  </si>
  <si>
    <t xml:space="preserve">+1 (CP)</t>
  </si>
  <si>
    <t xml:space="preserve">Good Throw</t>
  </si>
  <si>
    <t xml:space="preserve">Accurate, hard, flat throw back to the keeper/bowler</t>
  </si>
  <si>
    <t xml:space="preserve">+1 (GT)</t>
  </si>
  <si>
    <t xml:space="preserve">Fumble</t>
  </si>
  <si>
    <t xml:space="preserve">Fielder misfields / spills the ball momentarily, costing time</t>
  </si>
  <si>
    <t xml:space="preserve">0 (logged for context; no direct PS term)</t>
  </si>
  <si>
    <t xml:space="preserve">Bad Throw</t>
  </si>
  <si>
    <t xml:space="preserve">Wayward or weak throw that fails to threaten the batter</t>
  </si>
  <si>
    <t xml:space="preserve">Catch</t>
  </si>
  <si>
    <t xml:space="preserve">Fielder completes a catch to dismiss the batter</t>
  </si>
  <si>
    <t xml:space="preserve">+3 (C)</t>
  </si>
  <si>
    <t xml:space="preserve">Drop Catch</t>
  </si>
  <si>
    <t xml:space="preserve">Fielder fails to complete a catchable chance</t>
  </si>
  <si>
    <t xml:space="preserve">-3 (DC)</t>
  </si>
  <si>
    <t xml:space="preserve">THROW / DISMISSAL categories</t>
  </si>
  <si>
    <t xml:space="preserve">Run Out</t>
  </si>
  <si>
    <t xml:space="preserve">Fielding effort directly results in a run-out</t>
  </si>
  <si>
    <t xml:space="preserve">+3 (RO)</t>
  </si>
  <si>
    <t xml:space="preserve">Missed Run Out</t>
  </si>
  <si>
    <t xml:space="preserve">A clear run-out chance is missed/not completed</t>
  </si>
  <si>
    <t xml:space="preserve">-2 (MRO)</t>
  </si>
  <si>
    <t xml:space="preserve">Stumping</t>
  </si>
  <si>
    <t xml:space="preserve">Wicketkeeper completes a stumping</t>
  </si>
  <si>
    <t xml:space="preserve">+3 (ST)</t>
  </si>
  <si>
    <t xml:space="preserve">Missed Stumping</t>
  </si>
  <si>
    <t xml:space="preserve">Wicketkeeper fails to complete a clear stumping chance</t>
  </si>
  <si>
    <t xml:space="preserve">logged for context; no direct PS term</t>
  </si>
  <si>
    <t xml:space="preserve">Direct Hit</t>
  </si>
  <si>
    <t xml:space="preserve">Throw hits the stumps directly without keeper/bowler relay</t>
  </si>
  <si>
    <t xml:space="preserve">+2 (DH) — recorded alongside Run Out/Missed Run Out where applicable</t>
  </si>
  <si>
    <t xml:space="preserve">RUNS column</t>
  </si>
  <si>
    <t xml:space="preserve">Positive (+) = runs saved by good fielding. Negative (−) = runs conceded due to a fielding error (overthrow, fumble allowing extra run, misfield boundary, etc.). Added to PS as-is (RS).</t>
  </si>
  <si>
    <t xml:space="preserve">Raw Ball-by-Ball Fielding Data</t>
  </si>
  <si>
    <t xml:space="preserve">South Africa Women innings (chasing 127) — Pakistan Women fielding | Edgbaston, Birmingham | 17 June 2026</t>
  </si>
  <si>
    <t xml:space="preserve">Match No.</t>
  </si>
  <si>
    <t xml:space="preserve">Innings</t>
  </si>
  <si>
    <t xml:space="preserve">Team (Fielding)</t>
  </si>
  <si>
    <t xml:space="preserve">Player Name</t>
  </si>
  <si>
    <t xml:space="preserve">BallCount</t>
  </si>
  <si>
    <t xml:space="preserve">Position</t>
  </si>
  <si>
    <t xml:space="preserve">Short Description</t>
  </si>
  <si>
    <t xml:space="preserve">Pick</t>
  </si>
  <si>
    <t xml:space="preserve">Throw</t>
  </si>
  <si>
    <t xml:space="preserve">Runs</t>
  </si>
  <si>
    <t xml:space="preserve">Overcount</t>
  </si>
  <si>
    <t xml:space="preserve">Stadium</t>
  </si>
  <si>
    <t xml:space="preserve">WT20WC2026-G1-11</t>
  </si>
  <si>
    <t xml:space="preserve">Pakistan Women</t>
  </si>
  <si>
    <t xml:space="preserve">Fatima Sana</t>
  </si>
  <si>
    <t xml:space="preserve">0.3</t>
  </si>
  <si>
    <t xml:space="preserve">mid off</t>
  </si>
  <si>
    <t xml:space="preserve">Defends to mid off, easy single available</t>
  </si>
  <si>
    <t xml:space="preserve">1</t>
  </si>
  <si>
    <t xml:space="preserve">Birmingham</t>
  </si>
  <si>
    <t xml:space="preserve">Edgbaston</t>
  </si>
  <si>
    <t xml:space="preserve">Sadia Iqbal</t>
  </si>
  <si>
    <t xml:space="preserve">0.5</t>
  </si>
  <si>
    <t xml:space="preserve">point</t>
  </si>
  <si>
    <t xml:space="preserve">Pushed to point, sharp pick saves the second run</t>
  </si>
  <si>
    <t xml:space="preserve">Tuba Hassan</t>
  </si>
  <si>
    <t xml:space="preserve">1.2</t>
  </si>
  <si>
    <t xml:space="preserve">cover</t>
  </si>
  <si>
    <t xml:space="preserve">Driven to cover, fielded cleanly</t>
  </si>
  <si>
    <t xml:space="preserve">2</t>
  </si>
  <si>
    <t xml:space="preserve">1.6</t>
  </si>
  <si>
    <t xml:space="preserve">mid on</t>
  </si>
  <si>
    <t xml:space="preserve">Sune Luus mistimes towards mid on</t>
  </si>
  <si>
    <t xml:space="preserve">2.2</t>
  </si>
  <si>
    <t xml:space="preserve">extra cover</t>
  </si>
  <si>
    <t xml:space="preserve">Fumbles a routine pick, batters cross for two</t>
  </si>
  <si>
    <t xml:space="preserve">3</t>
  </si>
  <si>
    <t xml:space="preserve">2.5</t>
  </si>
  <si>
    <t xml:space="preserve">mid wicket</t>
  </si>
  <si>
    <t xml:space="preserve">Clean stop in the deep, denies the second run</t>
  </si>
  <si>
    <t xml:space="preserve">4.1</t>
  </si>
  <si>
    <t xml:space="preserve">long on</t>
  </si>
  <si>
    <t xml:space="preserve">Dercksen lofts over long on, Sana inside the rope but ball just clears her reach</t>
  </si>
  <si>
    <t xml:space="preserve">5</t>
  </si>
  <si>
    <t xml:space="preserve">4.4</t>
  </si>
  <si>
    <t xml:space="preserve">deep mid wicket</t>
  </si>
  <si>
    <t xml:space="preserve">Boundary chase, dives but cannot prevent the four</t>
  </si>
  <si>
    <t xml:space="preserve">6.3</t>
  </si>
  <si>
    <t xml:space="preserve">bowler</t>
  </si>
  <si>
    <t xml:space="preserve">Hard return catch off her own bowling, juggles and drops it</t>
  </si>
  <si>
    <t xml:space="preserve">7</t>
  </si>
  <si>
    <t xml:space="preserve">7.2</t>
  </si>
  <si>
    <t xml:space="preserve">short mid wicket</t>
  </si>
  <si>
    <t xml:space="preserve">Sharp single saved with a quick pick and underarm flick</t>
  </si>
  <si>
    <t xml:space="preserve">8</t>
  </si>
  <si>
    <t xml:space="preserve">7.5</t>
  </si>
  <si>
    <t xml:space="preserve">Kapp drives to point, fielded and returned well</t>
  </si>
  <si>
    <t xml:space="preserve">8.4</t>
  </si>
  <si>
    <t xml:space="preserve">Sharp pick and flat throw to the keeper's end</t>
  </si>
  <si>
    <t xml:space="preserve">9</t>
  </si>
  <si>
    <t xml:space="preserve">8.6</t>
  </si>
  <si>
    <t xml:space="preserve">Kapp sets off for a tight single, direct hit from mid off catches her short</t>
  </si>
  <si>
    <t xml:space="preserve">9.3</t>
  </si>
  <si>
    <t xml:space="preserve">long off</t>
  </si>
  <si>
    <t xml:space="preserve">Dercksen looks to clear long off, well-judged stop on the rope saves four</t>
  </si>
  <si>
    <t xml:space="preserve">10</t>
  </si>
  <si>
    <t xml:space="preserve">9.6</t>
  </si>
  <si>
    <t xml:space="preserve">Dercksen completely beaten and bowled (wicket to the bowler, not a fielding action)</t>
  </si>
  <si>
    <t xml:space="preserve">10.2</t>
  </si>
  <si>
    <t xml:space="preserve">Tryon mistimes a pull straight to mid on</t>
  </si>
  <si>
    <t xml:space="preserve">11</t>
  </si>
  <si>
    <t xml:space="preserve">11.4</t>
  </si>
  <si>
    <t xml:space="preserve">deep square leg</t>
  </si>
  <si>
    <t xml:space="preserve">Direct throw at the striker's end drifts wide of the stumps, missed run-out chance</t>
  </si>
  <si>
    <t xml:space="preserve">12</t>
  </si>
  <si>
    <t xml:space="preserve">12.5</t>
  </si>
  <si>
    <t xml:space="preserve">Reyneke edges and is caught low down at point</t>
  </si>
  <si>
    <t xml:space="preserve">13</t>
  </si>
  <si>
    <t xml:space="preserve">13.3</t>
  </si>
  <si>
    <t xml:space="preserve">Crisp stop in the covers, denies a certain two</t>
  </si>
  <si>
    <t xml:space="preserve">14</t>
  </si>
  <si>
    <t xml:space="preserve">13.6</t>
  </si>
  <si>
    <t xml:space="preserve">Good direct hit attempt from mid wicket, batters had already crossed safely</t>
  </si>
  <si>
    <t xml:space="preserve">14.2</t>
  </si>
  <si>
    <t xml:space="preserve">short cover</t>
  </si>
  <si>
    <t xml:space="preserve">Sharp dive to cut off a certain boundary</t>
  </si>
  <si>
    <t xml:space="preserve">15</t>
  </si>
  <si>
    <t xml:space="preserve">15.5</t>
  </si>
  <si>
    <t xml:space="preserve">de Klerk holes out to mid off, sharp running catch</t>
  </si>
  <si>
    <t xml:space="preserve">16</t>
  </si>
  <si>
    <t xml:space="preserve">16.3</t>
  </si>
  <si>
    <t xml:space="preserve">Hassan calls for a tight single, direct hit from cover ends the partnership</t>
  </si>
  <si>
    <t xml:space="preserve">17</t>
  </si>
  <si>
    <t xml:space="preserve">16.5</t>
  </si>
  <si>
    <t xml:space="preserve">third man</t>
  </si>
  <si>
    <t xml:space="preserve">Final boundary down to third man seals the chase, no fielding chance</t>
  </si>
  <si>
    <t xml:space="preserve">Note: Reconstructed from published match reports/commentary for analytical demonstration. Ball/over numbers reflect approximate phase of innings consistent with the reported match narrative; not an official ball-by-ball release.</t>
  </si>
  <si>
    <t xml:space="preserve">Fielding Performance Matrix</t>
  </si>
  <si>
    <t xml:space="preserve">Auto-calculated from 'Raw Fielding Data' — values update automatically if raw data changes</t>
  </si>
  <si>
    <t xml:space="preserve">Scoring Weights (inputs)</t>
  </si>
  <si>
    <t xml:space="preserve">WCP
(Clean Pick)</t>
  </si>
  <si>
    <t xml:space="preserve">WGT
(Good Throw)</t>
  </si>
  <si>
    <t xml:space="preserve">WC
(Catch)</t>
  </si>
  <si>
    <t xml:space="preserve">WDC
(Dropped Catch)</t>
  </si>
  <si>
    <t xml:space="preserve">WST
(Stumping)</t>
  </si>
  <si>
    <t xml:space="preserve">WRO
(Run Out)</t>
  </si>
  <si>
    <t xml:space="preserve">WMRO
(Missed Run Out)</t>
  </si>
  <si>
    <t xml:space="preserve">WDH
(Direct Hit)</t>
  </si>
  <si>
    <t xml:space="preserve">Sample Performance Matrix</t>
  </si>
  <si>
    <t xml:space="preserve">Clean Picks
(CP)</t>
  </si>
  <si>
    <t xml:space="preserve">Good Throws
(GT)</t>
  </si>
  <si>
    <t xml:space="preserve">Catches
(C)</t>
  </si>
  <si>
    <t xml:space="preserve">Dropped Catches
(DC)</t>
  </si>
  <si>
    <t xml:space="preserve">Stumpings
(ST)</t>
  </si>
  <si>
    <t xml:space="preserve">Run Outs
(RO)</t>
  </si>
  <si>
    <t xml:space="preserve">Missed Run Outs
(MRO)</t>
  </si>
  <si>
    <t xml:space="preserve">Direct Hits
(DH)</t>
  </si>
  <si>
    <t xml:space="preserve">Runs Saved
(RS)</t>
  </si>
  <si>
    <t xml:space="preserve">Performance Score
(PS)</t>
  </si>
  <si>
    <t xml:space="preserve">Performance Score Formula</t>
  </si>
  <si>
    <t xml:space="preserve">PS = (CP×WCP) + (GT×WGT) + (C×WC) + (DC×WDC) + (ST×WST) + (RO×WRO) + (MRO×WMRO) + (DH×WDH) + RS</t>
  </si>
  <si>
    <t xml:space="preserve">Weight key (matches the inputs row above):</t>
  </si>
  <si>
    <t xml:space="preserve">CP: Clean Picks — 1 point each</t>
  </si>
  <si>
    <t xml:space="preserve">GT: Good Throws — 1 point each</t>
  </si>
  <si>
    <t xml:space="preserve">C: Catches — 3 points each</t>
  </si>
  <si>
    <t xml:space="preserve">DC: Dropped Catches — minus 3 points each</t>
  </si>
  <si>
    <t xml:space="preserve">ST: Stumpings — 3 points each</t>
  </si>
  <si>
    <t xml:space="preserve">RO: Run Outs — 3 points each</t>
  </si>
  <si>
    <t xml:space="preserve">MRO: Missed Run Outs — minus 2 points each</t>
  </si>
  <si>
    <t xml:space="preserve">DH: Direct Hits — 2 points each</t>
  </si>
  <si>
    <t xml:space="preserve">RS: Runs Saved — added as-is (negative if runs conceded)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</si>
</sst>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C6E0B4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C628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6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</row>
    <row r="4" customFormat="false" ht="15.75" hidden="false" customHeight="true" outlineLevel="0" collapsed="false">
      <c r="B4" s="2" t="s">
        <v>1</v>
      </c>
      <c r="C4" s="3" t="s">
        <v>2</v>
      </c>
      <c r="D4" s="3"/>
      <c r="E4" s="3"/>
      <c r="F4" s="3"/>
      <c r="G4" s="3"/>
    </row>
    <row r="5" customFormat="false" ht="15.75" hidden="false" customHeight="true" outlineLevel="0" collapsed="false">
      <c r="B5" s="2" t="s">
        <v>3</v>
      </c>
      <c r="C5" s="3" t="s">
        <v>4</v>
      </c>
      <c r="D5" s="3"/>
      <c r="E5" s="3"/>
      <c r="F5" s="3"/>
      <c r="G5" s="3"/>
    </row>
    <row r="6" customFormat="false" ht="15.75" hidden="false" customHeight="true" outlineLevel="0" collapsed="false">
      <c r="B6" s="2" t="s">
        <v>5</v>
      </c>
      <c r="C6" s="3" t="s">
        <v>6</v>
      </c>
      <c r="D6" s="3"/>
      <c r="E6" s="3"/>
      <c r="F6" s="3"/>
      <c r="G6" s="3"/>
    </row>
    <row r="7" customFormat="false" ht="15.75" hidden="false" customHeight="true" outlineLevel="0" collapsed="false">
      <c r="B7" s="2" t="s">
        <v>7</v>
      </c>
      <c r="C7" s="3" t="s">
        <v>8</v>
      </c>
      <c r="D7" s="3"/>
      <c r="E7" s="3"/>
      <c r="F7" s="3"/>
      <c r="G7" s="3"/>
    </row>
    <row r="8" customFormat="false" ht="15.75" hidden="false" customHeight="true" outlineLevel="0" collapsed="false">
      <c r="B8" s="2" t="s">
        <v>9</v>
      </c>
      <c r="C8" s="3" t="s">
        <v>10</v>
      </c>
      <c r="D8" s="3"/>
      <c r="E8" s="3"/>
      <c r="F8" s="3"/>
      <c r="G8" s="3"/>
    </row>
    <row r="9" customFormat="false" ht="15.75" hidden="false" customHeight="true" outlineLevel="0" collapsed="false">
      <c r="B9" s="2" t="s">
        <v>11</v>
      </c>
      <c r="C9" s="3" t="s">
        <v>12</v>
      </c>
      <c r="D9" s="3"/>
      <c r="E9" s="3"/>
      <c r="F9" s="3"/>
      <c r="G9" s="3"/>
    </row>
    <row r="10" customFormat="false" ht="15.75" hidden="false" customHeight="true" outlineLevel="0" collapsed="false">
      <c r="B10" s="2" t="s">
        <v>13</v>
      </c>
      <c r="C10" s="3" t="s">
        <v>14</v>
      </c>
      <c r="D10" s="3"/>
      <c r="E10" s="3"/>
      <c r="F10" s="3"/>
      <c r="G10" s="3"/>
    </row>
    <row r="11" customFormat="false" ht="15.75" hidden="false" customHeight="true" outlineLevel="0" collapsed="false">
      <c r="B11" s="2" t="s">
        <v>15</v>
      </c>
      <c r="C11" s="3" t="s">
        <v>16</v>
      </c>
      <c r="D11" s="3"/>
      <c r="E11" s="3"/>
      <c r="F11" s="3"/>
      <c r="G11" s="3"/>
    </row>
    <row r="12" customFormat="false" ht="15.75" hidden="false" customHeight="true" outlineLevel="0" collapsed="false">
      <c r="B12" s="2" t="s">
        <v>17</v>
      </c>
      <c r="C12" s="3" t="s">
        <v>18</v>
      </c>
      <c r="D12" s="3"/>
      <c r="E12" s="3"/>
      <c r="F12" s="3"/>
      <c r="G12" s="3"/>
    </row>
    <row r="13" customFormat="false" ht="30" hidden="false" customHeight="true" outlineLevel="0" collapsed="false">
      <c r="B13" s="2" t="s">
        <v>19</v>
      </c>
      <c r="C13" s="3" t="s">
        <v>20</v>
      </c>
      <c r="D13" s="3"/>
      <c r="E13" s="3"/>
      <c r="F13" s="3"/>
      <c r="G13" s="3"/>
    </row>
    <row r="15" customFormat="false" ht="15" hidden="false" customHeight="false" outlineLevel="0" collapsed="false">
      <c r="B15" s="4" t="s">
        <v>21</v>
      </c>
    </row>
    <row r="16" customFormat="false" ht="15" hidden="false" customHeight="false" outlineLevel="0" collapsed="false">
      <c r="B16" s="5" t="s">
        <v>22</v>
      </c>
      <c r="C16" s="5"/>
      <c r="D16" s="5"/>
      <c r="E16" s="5"/>
      <c r="F16" s="5"/>
      <c r="G16" s="5"/>
    </row>
    <row r="17" customFormat="false" ht="15" hidden="false" customHeight="false" outlineLevel="0" collapsed="false">
      <c r="B17" s="5" t="s">
        <v>23</v>
      </c>
      <c r="C17" s="5"/>
      <c r="D17" s="5"/>
      <c r="E17" s="5"/>
      <c r="F17" s="5"/>
      <c r="G17" s="5"/>
    </row>
    <row r="18" customFormat="false" ht="15" hidden="false" customHeight="false" outlineLevel="0" collapsed="false">
      <c r="B18" s="5" t="s">
        <v>24</v>
      </c>
      <c r="C18" s="5"/>
      <c r="D18" s="5"/>
      <c r="E18" s="5"/>
      <c r="F18" s="5"/>
      <c r="G18" s="5"/>
    </row>
    <row r="19" customFormat="false" ht="15" hidden="false" customHeight="false" outlineLevel="0" collapsed="false">
      <c r="B19" s="5" t="s">
        <v>25</v>
      </c>
      <c r="C19" s="5"/>
      <c r="D19" s="5"/>
      <c r="E19" s="5"/>
      <c r="F19" s="5"/>
      <c r="G19" s="5"/>
    </row>
  </sheetData>
  <mergeCells count="15">
    <mergeCell ref="B2:F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B16:G16"/>
    <mergeCell ref="B17:G17"/>
    <mergeCell ref="B18:G18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46"/>
  </cols>
  <sheetData>
    <row r="2" customFormat="false" ht="17.35" hidden="false" customHeight="false" outlineLevel="0" collapsed="false">
      <c r="B2" s="6" t="s">
        <v>26</v>
      </c>
    </row>
    <row r="4" customFormat="false" ht="15" hidden="false" customHeight="false" outlineLevel="0" collapsed="false">
      <c r="B4" s="4" t="s">
        <v>27</v>
      </c>
    </row>
    <row r="5" customFormat="false" ht="15" hidden="false" customHeight="false" outlineLevel="0" collapsed="false">
      <c r="B5" s="7" t="s">
        <v>28</v>
      </c>
      <c r="C5" s="7" t="s">
        <v>29</v>
      </c>
      <c r="D5" s="7" t="s">
        <v>30</v>
      </c>
    </row>
    <row r="6" customFormat="false" ht="15" hidden="false" customHeight="false" outlineLevel="0" collapsed="false">
      <c r="B6" s="8" t="s">
        <v>31</v>
      </c>
      <c r="C6" s="8" t="s">
        <v>32</v>
      </c>
      <c r="D6" s="8" t="s">
        <v>33</v>
      </c>
    </row>
    <row r="7" customFormat="false" ht="15" hidden="false" customHeight="false" outlineLevel="0" collapsed="false">
      <c r="B7" s="8" t="s">
        <v>34</v>
      </c>
      <c r="C7" s="8" t="s">
        <v>35</v>
      </c>
      <c r="D7" s="8" t="s">
        <v>36</v>
      </c>
    </row>
    <row r="8" customFormat="false" ht="23.85" hidden="false" customHeight="false" outlineLevel="0" collapsed="false">
      <c r="B8" s="8" t="s">
        <v>37</v>
      </c>
      <c r="C8" s="8" t="s">
        <v>38</v>
      </c>
      <c r="D8" s="8" t="s">
        <v>39</v>
      </c>
    </row>
    <row r="9" customFormat="false" ht="15" hidden="false" customHeight="false" outlineLevel="0" collapsed="false">
      <c r="B9" s="8" t="s">
        <v>40</v>
      </c>
      <c r="C9" s="8" t="s">
        <v>41</v>
      </c>
      <c r="D9" s="8" t="s">
        <v>39</v>
      </c>
    </row>
    <row r="10" customFormat="false" ht="15" hidden="false" customHeight="false" outlineLevel="0" collapsed="false">
      <c r="B10" s="8" t="s">
        <v>42</v>
      </c>
      <c r="C10" s="8" t="s">
        <v>43</v>
      </c>
      <c r="D10" s="8" t="s">
        <v>44</v>
      </c>
    </row>
    <row r="11" customFormat="false" ht="15" hidden="false" customHeight="false" outlineLevel="0" collapsed="false">
      <c r="B11" s="8" t="s">
        <v>45</v>
      </c>
      <c r="C11" s="8" t="s">
        <v>46</v>
      </c>
      <c r="D11" s="8" t="s">
        <v>47</v>
      </c>
    </row>
    <row r="13" customFormat="false" ht="15" hidden="false" customHeight="false" outlineLevel="0" collapsed="false">
      <c r="B13" s="4" t="s">
        <v>48</v>
      </c>
    </row>
    <row r="14" customFormat="false" ht="15" hidden="false" customHeight="false" outlineLevel="0" collapsed="false">
      <c r="B14" s="7" t="s">
        <v>28</v>
      </c>
      <c r="C14" s="7" t="s">
        <v>29</v>
      </c>
      <c r="D14" s="7" t="s">
        <v>30</v>
      </c>
    </row>
    <row r="15" customFormat="false" ht="15" hidden="false" customHeight="false" outlineLevel="0" collapsed="false">
      <c r="B15" s="8" t="s">
        <v>49</v>
      </c>
      <c r="C15" s="8" t="s">
        <v>50</v>
      </c>
      <c r="D15" s="8" t="s">
        <v>51</v>
      </c>
    </row>
    <row r="16" customFormat="false" ht="15" hidden="false" customHeight="false" outlineLevel="0" collapsed="false">
      <c r="B16" s="8" t="s">
        <v>52</v>
      </c>
      <c r="C16" s="8" t="s">
        <v>53</v>
      </c>
      <c r="D16" s="8" t="s">
        <v>54</v>
      </c>
    </row>
    <row r="17" customFormat="false" ht="15" hidden="false" customHeight="false" outlineLevel="0" collapsed="false">
      <c r="B17" s="8" t="s">
        <v>55</v>
      </c>
      <c r="C17" s="8" t="s">
        <v>56</v>
      </c>
      <c r="D17" s="8" t="s">
        <v>57</v>
      </c>
    </row>
    <row r="18" customFormat="false" ht="15" hidden="false" customHeight="false" outlineLevel="0" collapsed="false">
      <c r="B18" s="8" t="s">
        <v>58</v>
      </c>
      <c r="C18" s="8" t="s">
        <v>59</v>
      </c>
      <c r="D18" s="8" t="s">
        <v>60</v>
      </c>
    </row>
    <row r="19" customFormat="false" ht="23.85" hidden="false" customHeight="false" outlineLevel="0" collapsed="false">
      <c r="B19" s="8" t="s">
        <v>61</v>
      </c>
      <c r="C19" s="8" t="s">
        <v>62</v>
      </c>
      <c r="D19" s="8" t="s">
        <v>63</v>
      </c>
    </row>
    <row r="21" customFormat="false" ht="15" hidden="false" customHeight="false" outlineLevel="0" collapsed="false">
      <c r="B21" s="4" t="s">
        <v>64</v>
      </c>
    </row>
    <row r="22" customFormat="false" ht="30" hidden="false" customHeight="true" outlineLevel="0" collapsed="false">
      <c r="B22" s="5" t="s">
        <v>65</v>
      </c>
      <c r="C22" s="5"/>
      <c r="D22" s="5"/>
    </row>
  </sheetData>
  <mergeCells count="1"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4" min="3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8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9" t="s">
        <v>67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6" customFormat="false" ht="15" hidden="false" customHeight="false" outlineLevel="0" collapsed="false">
      <c r="A6" s="10" t="s">
        <v>68</v>
      </c>
      <c r="B6" s="10" t="s">
        <v>69</v>
      </c>
      <c r="C6" s="10" t="s">
        <v>70</v>
      </c>
      <c r="D6" s="10" t="s">
        <v>71</v>
      </c>
      <c r="E6" s="10" t="s">
        <v>72</v>
      </c>
      <c r="F6" s="10" t="s">
        <v>73</v>
      </c>
      <c r="G6" s="10" t="s">
        <v>74</v>
      </c>
      <c r="H6" s="10" t="s">
        <v>75</v>
      </c>
      <c r="I6" s="10" t="s">
        <v>76</v>
      </c>
      <c r="J6" s="10" t="s">
        <v>77</v>
      </c>
      <c r="K6" s="10" t="s">
        <v>78</v>
      </c>
      <c r="L6" s="10" t="s">
        <v>5</v>
      </c>
      <c r="M6" s="10" t="s">
        <v>79</v>
      </c>
    </row>
    <row r="7" customFormat="false" ht="31.5" hidden="false" customHeight="true" outlineLevel="0" collapsed="false">
      <c r="A7" s="11" t="s">
        <v>80</v>
      </c>
      <c r="B7" s="11" t="n">
        <v>2</v>
      </c>
      <c r="C7" s="11" t="s">
        <v>81</v>
      </c>
      <c r="D7" s="11" t="s">
        <v>82</v>
      </c>
      <c r="E7" s="11" t="s">
        <v>83</v>
      </c>
      <c r="F7" s="11" t="s">
        <v>84</v>
      </c>
      <c r="G7" s="12" t="s">
        <v>85</v>
      </c>
      <c r="H7" s="11" t="s">
        <v>31</v>
      </c>
      <c r="I7" s="11" t="s">
        <v>34</v>
      </c>
      <c r="J7" s="11" t="n">
        <v>0</v>
      </c>
      <c r="K7" s="11" t="s">
        <v>86</v>
      </c>
      <c r="L7" s="11" t="s">
        <v>87</v>
      </c>
      <c r="M7" s="11" t="s">
        <v>88</v>
      </c>
    </row>
    <row r="8" customFormat="false" ht="31.5" hidden="false" customHeight="true" outlineLevel="0" collapsed="false">
      <c r="A8" s="8" t="s">
        <v>80</v>
      </c>
      <c r="B8" s="8" t="n">
        <v>2</v>
      </c>
      <c r="C8" s="8" t="s">
        <v>81</v>
      </c>
      <c r="D8" s="8" t="s">
        <v>89</v>
      </c>
      <c r="E8" s="8" t="s">
        <v>90</v>
      </c>
      <c r="F8" s="8" t="s">
        <v>91</v>
      </c>
      <c r="G8" s="13" t="s">
        <v>92</v>
      </c>
      <c r="H8" s="8" t="s">
        <v>31</v>
      </c>
      <c r="I8" s="8" t="s">
        <v>34</v>
      </c>
      <c r="J8" s="14" t="n">
        <v>1</v>
      </c>
      <c r="K8" s="8" t="s">
        <v>86</v>
      </c>
      <c r="L8" s="8" t="s">
        <v>87</v>
      </c>
      <c r="M8" s="8" t="s">
        <v>88</v>
      </c>
    </row>
    <row r="9" customFormat="false" ht="31.5" hidden="false" customHeight="true" outlineLevel="0" collapsed="false">
      <c r="A9" s="11" t="s">
        <v>80</v>
      </c>
      <c r="B9" s="11" t="n">
        <v>2</v>
      </c>
      <c r="C9" s="11" t="s">
        <v>81</v>
      </c>
      <c r="D9" s="11" t="s">
        <v>93</v>
      </c>
      <c r="E9" s="11" t="s">
        <v>94</v>
      </c>
      <c r="F9" s="11" t="s">
        <v>95</v>
      </c>
      <c r="G9" s="12" t="s">
        <v>96</v>
      </c>
      <c r="H9" s="11" t="s">
        <v>31</v>
      </c>
      <c r="I9" s="11" t="s">
        <v>34</v>
      </c>
      <c r="J9" s="11" t="n">
        <v>0</v>
      </c>
      <c r="K9" s="11" t="s">
        <v>97</v>
      </c>
      <c r="L9" s="11" t="s">
        <v>87</v>
      </c>
      <c r="M9" s="11" t="s">
        <v>88</v>
      </c>
    </row>
    <row r="10" customFormat="false" ht="31.5" hidden="false" customHeight="true" outlineLevel="0" collapsed="false">
      <c r="A10" s="8" t="s">
        <v>80</v>
      </c>
      <c r="B10" s="8" t="n">
        <v>2</v>
      </c>
      <c r="C10" s="8" t="s">
        <v>81</v>
      </c>
      <c r="D10" s="8" t="s">
        <v>82</v>
      </c>
      <c r="E10" s="8" t="s">
        <v>98</v>
      </c>
      <c r="F10" s="8" t="s">
        <v>99</v>
      </c>
      <c r="G10" s="13" t="s">
        <v>100</v>
      </c>
      <c r="H10" s="8" t="s">
        <v>42</v>
      </c>
      <c r="I10" s="8"/>
      <c r="J10" s="8" t="n">
        <v>0</v>
      </c>
      <c r="K10" s="8" t="s">
        <v>97</v>
      </c>
      <c r="L10" s="8" t="s">
        <v>87</v>
      </c>
      <c r="M10" s="8" t="s">
        <v>88</v>
      </c>
    </row>
    <row r="11" customFormat="false" ht="31.5" hidden="false" customHeight="true" outlineLevel="0" collapsed="false">
      <c r="A11" s="11" t="s">
        <v>80</v>
      </c>
      <c r="B11" s="11" t="n">
        <v>2</v>
      </c>
      <c r="C11" s="11" t="s">
        <v>81</v>
      </c>
      <c r="D11" s="11" t="s">
        <v>89</v>
      </c>
      <c r="E11" s="11" t="s">
        <v>101</v>
      </c>
      <c r="F11" s="11" t="s">
        <v>102</v>
      </c>
      <c r="G11" s="12" t="s">
        <v>103</v>
      </c>
      <c r="H11" s="11" t="s">
        <v>37</v>
      </c>
      <c r="I11" s="11" t="s">
        <v>40</v>
      </c>
      <c r="J11" s="15" t="n">
        <v>-2</v>
      </c>
      <c r="K11" s="11" t="s">
        <v>104</v>
      </c>
      <c r="L11" s="11" t="s">
        <v>87</v>
      </c>
      <c r="M11" s="11" t="s">
        <v>88</v>
      </c>
    </row>
    <row r="12" customFormat="false" ht="31.5" hidden="false" customHeight="true" outlineLevel="0" collapsed="false">
      <c r="A12" s="8" t="s">
        <v>80</v>
      </c>
      <c r="B12" s="8" t="n">
        <v>2</v>
      </c>
      <c r="C12" s="8" t="s">
        <v>81</v>
      </c>
      <c r="D12" s="8" t="s">
        <v>93</v>
      </c>
      <c r="E12" s="8" t="s">
        <v>105</v>
      </c>
      <c r="F12" s="8" t="s">
        <v>106</v>
      </c>
      <c r="G12" s="13" t="s">
        <v>107</v>
      </c>
      <c r="H12" s="8" t="s">
        <v>31</v>
      </c>
      <c r="I12" s="8" t="s">
        <v>34</v>
      </c>
      <c r="J12" s="14" t="n">
        <v>1</v>
      </c>
      <c r="K12" s="8" t="s">
        <v>104</v>
      </c>
      <c r="L12" s="8" t="s">
        <v>87</v>
      </c>
      <c r="M12" s="8" t="s">
        <v>88</v>
      </c>
    </row>
    <row r="13" customFormat="false" ht="31.5" hidden="false" customHeight="true" outlineLevel="0" collapsed="false">
      <c r="A13" s="11" t="s">
        <v>80</v>
      </c>
      <c r="B13" s="11" t="n">
        <v>2</v>
      </c>
      <c r="C13" s="11" t="s">
        <v>81</v>
      </c>
      <c r="D13" s="11" t="s">
        <v>82</v>
      </c>
      <c r="E13" s="11" t="s">
        <v>108</v>
      </c>
      <c r="F13" s="11" t="s">
        <v>109</v>
      </c>
      <c r="G13" s="12" t="s">
        <v>110</v>
      </c>
      <c r="H13" s="11" t="s">
        <v>37</v>
      </c>
      <c r="I13" s="11" t="s">
        <v>40</v>
      </c>
      <c r="J13" s="15" t="n">
        <v>-1</v>
      </c>
      <c r="K13" s="11" t="s">
        <v>111</v>
      </c>
      <c r="L13" s="11" t="s">
        <v>87</v>
      </c>
      <c r="M13" s="11" t="s">
        <v>88</v>
      </c>
    </row>
    <row r="14" customFormat="false" ht="31.5" hidden="false" customHeight="true" outlineLevel="0" collapsed="false">
      <c r="A14" s="8" t="s">
        <v>80</v>
      </c>
      <c r="B14" s="8" t="n">
        <v>2</v>
      </c>
      <c r="C14" s="8" t="s">
        <v>81</v>
      </c>
      <c r="D14" s="8" t="s">
        <v>93</v>
      </c>
      <c r="E14" s="8" t="s">
        <v>112</v>
      </c>
      <c r="F14" s="8" t="s">
        <v>113</v>
      </c>
      <c r="G14" s="13" t="s">
        <v>114</v>
      </c>
      <c r="H14" s="8" t="s">
        <v>40</v>
      </c>
      <c r="I14" s="8"/>
      <c r="J14" s="16" t="n">
        <v>-1</v>
      </c>
      <c r="K14" s="8" t="s">
        <v>111</v>
      </c>
      <c r="L14" s="8" t="s">
        <v>87</v>
      </c>
      <c r="M14" s="8" t="s">
        <v>88</v>
      </c>
    </row>
    <row r="15" customFormat="false" ht="31.5" hidden="false" customHeight="true" outlineLevel="0" collapsed="false">
      <c r="A15" s="11" t="s">
        <v>80</v>
      </c>
      <c r="B15" s="11" t="n">
        <v>2</v>
      </c>
      <c r="C15" s="11" t="s">
        <v>81</v>
      </c>
      <c r="D15" s="11" t="s">
        <v>82</v>
      </c>
      <c r="E15" s="11" t="s">
        <v>115</v>
      </c>
      <c r="F15" s="11" t="s">
        <v>116</v>
      </c>
      <c r="G15" s="12" t="s">
        <v>117</v>
      </c>
      <c r="H15" s="11" t="s">
        <v>45</v>
      </c>
      <c r="I15" s="11"/>
      <c r="J15" s="15" t="n">
        <v>-4</v>
      </c>
      <c r="K15" s="11" t="s">
        <v>118</v>
      </c>
      <c r="L15" s="11" t="s">
        <v>87</v>
      </c>
      <c r="M15" s="11" t="s">
        <v>88</v>
      </c>
    </row>
    <row r="16" customFormat="false" ht="31.5" hidden="false" customHeight="true" outlineLevel="0" collapsed="false">
      <c r="A16" s="8" t="s">
        <v>80</v>
      </c>
      <c r="B16" s="8" t="n">
        <v>2</v>
      </c>
      <c r="C16" s="8" t="s">
        <v>81</v>
      </c>
      <c r="D16" s="8" t="s">
        <v>89</v>
      </c>
      <c r="E16" s="8" t="s">
        <v>119</v>
      </c>
      <c r="F16" s="8" t="s">
        <v>120</v>
      </c>
      <c r="G16" s="13" t="s">
        <v>121</v>
      </c>
      <c r="H16" s="8" t="s">
        <v>31</v>
      </c>
      <c r="I16" s="8" t="s">
        <v>34</v>
      </c>
      <c r="J16" s="14" t="n">
        <v>1</v>
      </c>
      <c r="K16" s="8" t="s">
        <v>122</v>
      </c>
      <c r="L16" s="8" t="s">
        <v>87</v>
      </c>
      <c r="M16" s="8" t="s">
        <v>88</v>
      </c>
    </row>
    <row r="17" customFormat="false" ht="31.5" hidden="false" customHeight="true" outlineLevel="0" collapsed="false">
      <c r="A17" s="11" t="s">
        <v>80</v>
      </c>
      <c r="B17" s="11" t="n">
        <v>2</v>
      </c>
      <c r="C17" s="11" t="s">
        <v>81</v>
      </c>
      <c r="D17" s="11" t="s">
        <v>93</v>
      </c>
      <c r="E17" s="11" t="s">
        <v>123</v>
      </c>
      <c r="F17" s="11" t="s">
        <v>91</v>
      </c>
      <c r="G17" s="12" t="s">
        <v>124</v>
      </c>
      <c r="H17" s="11" t="s">
        <v>31</v>
      </c>
      <c r="I17" s="11" t="s">
        <v>34</v>
      </c>
      <c r="J17" s="11" t="n">
        <v>0</v>
      </c>
      <c r="K17" s="11" t="s">
        <v>122</v>
      </c>
      <c r="L17" s="11" t="s">
        <v>87</v>
      </c>
      <c r="M17" s="11" t="s">
        <v>88</v>
      </c>
    </row>
    <row r="18" customFormat="false" ht="31.5" hidden="false" customHeight="true" outlineLevel="0" collapsed="false">
      <c r="A18" s="8" t="s">
        <v>80</v>
      </c>
      <c r="B18" s="8" t="n">
        <v>2</v>
      </c>
      <c r="C18" s="8" t="s">
        <v>81</v>
      </c>
      <c r="D18" s="8" t="s">
        <v>93</v>
      </c>
      <c r="E18" s="8" t="s">
        <v>125</v>
      </c>
      <c r="F18" s="8" t="s">
        <v>95</v>
      </c>
      <c r="G18" s="13" t="s">
        <v>126</v>
      </c>
      <c r="H18" s="8" t="s">
        <v>31</v>
      </c>
      <c r="I18" s="8" t="s">
        <v>34</v>
      </c>
      <c r="J18" s="8" t="n">
        <v>0</v>
      </c>
      <c r="K18" s="8" t="s">
        <v>127</v>
      </c>
      <c r="L18" s="8" t="s">
        <v>87</v>
      </c>
      <c r="M18" s="8" t="s">
        <v>88</v>
      </c>
    </row>
    <row r="19" customFormat="false" ht="31.5" hidden="false" customHeight="true" outlineLevel="0" collapsed="false">
      <c r="A19" s="11" t="s">
        <v>80</v>
      </c>
      <c r="B19" s="11" t="n">
        <v>2</v>
      </c>
      <c r="C19" s="11" t="s">
        <v>81</v>
      </c>
      <c r="D19" s="11" t="s">
        <v>89</v>
      </c>
      <c r="E19" s="11" t="s">
        <v>128</v>
      </c>
      <c r="F19" s="11" t="s">
        <v>84</v>
      </c>
      <c r="G19" s="12" t="s">
        <v>129</v>
      </c>
      <c r="H19" s="11" t="s">
        <v>31</v>
      </c>
      <c r="I19" s="11" t="s">
        <v>49</v>
      </c>
      <c r="J19" s="11" t="n">
        <v>0</v>
      </c>
      <c r="K19" s="11" t="s">
        <v>127</v>
      </c>
      <c r="L19" s="11" t="s">
        <v>87</v>
      </c>
      <c r="M19" s="11" t="s">
        <v>88</v>
      </c>
    </row>
    <row r="20" customFormat="false" ht="31.5" hidden="false" customHeight="true" outlineLevel="0" collapsed="false">
      <c r="A20" s="8" t="s">
        <v>80</v>
      </c>
      <c r="B20" s="8" t="n">
        <v>2</v>
      </c>
      <c r="C20" s="8" t="s">
        <v>81</v>
      </c>
      <c r="D20" s="8" t="s">
        <v>82</v>
      </c>
      <c r="E20" s="8" t="s">
        <v>130</v>
      </c>
      <c r="F20" s="8" t="s">
        <v>131</v>
      </c>
      <c r="G20" s="13" t="s">
        <v>132</v>
      </c>
      <c r="H20" s="8" t="s">
        <v>31</v>
      </c>
      <c r="I20" s="8" t="s">
        <v>34</v>
      </c>
      <c r="J20" s="14" t="n">
        <v>4</v>
      </c>
      <c r="K20" s="8" t="s">
        <v>133</v>
      </c>
      <c r="L20" s="8" t="s">
        <v>87</v>
      </c>
      <c r="M20" s="8" t="s">
        <v>88</v>
      </c>
    </row>
    <row r="21" customFormat="false" ht="31.5" hidden="false" customHeight="true" outlineLevel="0" collapsed="false">
      <c r="A21" s="11" t="s">
        <v>80</v>
      </c>
      <c r="B21" s="11" t="n">
        <v>2</v>
      </c>
      <c r="C21" s="11" t="s">
        <v>81</v>
      </c>
      <c r="D21" s="11" t="s">
        <v>93</v>
      </c>
      <c r="E21" s="11" t="s">
        <v>134</v>
      </c>
      <c r="F21" s="11" t="s">
        <v>116</v>
      </c>
      <c r="G21" s="12" t="s">
        <v>135</v>
      </c>
      <c r="H21" s="11" t="s">
        <v>31</v>
      </c>
      <c r="I21" s="11"/>
      <c r="J21" s="11" t="n">
        <v>0</v>
      </c>
      <c r="K21" s="11" t="s">
        <v>133</v>
      </c>
      <c r="L21" s="11" t="s">
        <v>87</v>
      </c>
      <c r="M21" s="11" t="s">
        <v>88</v>
      </c>
    </row>
    <row r="22" customFormat="false" ht="31.5" hidden="false" customHeight="true" outlineLevel="0" collapsed="false">
      <c r="A22" s="8" t="s">
        <v>80</v>
      </c>
      <c r="B22" s="8" t="n">
        <v>2</v>
      </c>
      <c r="C22" s="8" t="s">
        <v>81</v>
      </c>
      <c r="D22" s="8" t="s">
        <v>89</v>
      </c>
      <c r="E22" s="8" t="s">
        <v>136</v>
      </c>
      <c r="F22" s="8" t="s">
        <v>99</v>
      </c>
      <c r="G22" s="13" t="s">
        <v>137</v>
      </c>
      <c r="H22" s="8" t="s">
        <v>42</v>
      </c>
      <c r="I22" s="8"/>
      <c r="J22" s="8" t="n">
        <v>0</v>
      </c>
      <c r="K22" s="8" t="s">
        <v>138</v>
      </c>
      <c r="L22" s="8" t="s">
        <v>87</v>
      </c>
      <c r="M22" s="8" t="s">
        <v>88</v>
      </c>
    </row>
    <row r="23" customFormat="false" ht="31.5" hidden="false" customHeight="true" outlineLevel="0" collapsed="false">
      <c r="A23" s="11" t="s">
        <v>80</v>
      </c>
      <c r="B23" s="11" t="n">
        <v>2</v>
      </c>
      <c r="C23" s="11" t="s">
        <v>81</v>
      </c>
      <c r="D23" s="11" t="s">
        <v>93</v>
      </c>
      <c r="E23" s="11" t="s">
        <v>139</v>
      </c>
      <c r="F23" s="11" t="s">
        <v>140</v>
      </c>
      <c r="G23" s="12" t="s">
        <v>141</v>
      </c>
      <c r="H23" s="11" t="s">
        <v>40</v>
      </c>
      <c r="I23" s="11" t="s">
        <v>52</v>
      </c>
      <c r="J23" s="15" t="n">
        <v>-1</v>
      </c>
      <c r="K23" s="11" t="s">
        <v>142</v>
      </c>
      <c r="L23" s="11" t="s">
        <v>87</v>
      </c>
      <c r="M23" s="11" t="s">
        <v>88</v>
      </c>
    </row>
    <row r="24" customFormat="false" ht="31.5" hidden="false" customHeight="true" outlineLevel="0" collapsed="false">
      <c r="A24" s="8" t="s">
        <v>80</v>
      </c>
      <c r="B24" s="8" t="n">
        <v>2</v>
      </c>
      <c r="C24" s="8" t="s">
        <v>81</v>
      </c>
      <c r="D24" s="8" t="s">
        <v>89</v>
      </c>
      <c r="E24" s="8" t="s">
        <v>143</v>
      </c>
      <c r="F24" s="8" t="s">
        <v>91</v>
      </c>
      <c r="G24" s="13" t="s">
        <v>144</v>
      </c>
      <c r="H24" s="8" t="s">
        <v>42</v>
      </c>
      <c r="I24" s="8"/>
      <c r="J24" s="8" t="n">
        <v>0</v>
      </c>
      <c r="K24" s="8" t="s">
        <v>145</v>
      </c>
      <c r="L24" s="8" t="s">
        <v>87</v>
      </c>
      <c r="M24" s="8" t="s">
        <v>88</v>
      </c>
    </row>
    <row r="25" customFormat="false" ht="31.5" hidden="false" customHeight="true" outlineLevel="0" collapsed="false">
      <c r="A25" s="11" t="s">
        <v>80</v>
      </c>
      <c r="B25" s="11" t="n">
        <v>2</v>
      </c>
      <c r="C25" s="11" t="s">
        <v>81</v>
      </c>
      <c r="D25" s="11" t="s">
        <v>82</v>
      </c>
      <c r="E25" s="11" t="s">
        <v>146</v>
      </c>
      <c r="F25" s="11" t="s">
        <v>102</v>
      </c>
      <c r="G25" s="12" t="s">
        <v>147</v>
      </c>
      <c r="H25" s="11" t="s">
        <v>31</v>
      </c>
      <c r="I25" s="11" t="s">
        <v>34</v>
      </c>
      <c r="J25" s="17" t="n">
        <v>2</v>
      </c>
      <c r="K25" s="11" t="s">
        <v>148</v>
      </c>
      <c r="L25" s="11" t="s">
        <v>87</v>
      </c>
      <c r="M25" s="11" t="s">
        <v>88</v>
      </c>
    </row>
    <row r="26" customFormat="false" ht="31.5" hidden="false" customHeight="true" outlineLevel="0" collapsed="false">
      <c r="A26" s="8" t="s">
        <v>80</v>
      </c>
      <c r="B26" s="8" t="n">
        <v>2</v>
      </c>
      <c r="C26" s="8" t="s">
        <v>81</v>
      </c>
      <c r="D26" s="8" t="s">
        <v>93</v>
      </c>
      <c r="E26" s="8" t="s">
        <v>149</v>
      </c>
      <c r="F26" s="8" t="s">
        <v>106</v>
      </c>
      <c r="G26" s="13" t="s">
        <v>150</v>
      </c>
      <c r="H26" s="8" t="s">
        <v>31</v>
      </c>
      <c r="I26" s="8" t="s">
        <v>61</v>
      </c>
      <c r="J26" s="8" t="n">
        <v>0</v>
      </c>
      <c r="K26" s="8" t="s">
        <v>148</v>
      </c>
      <c r="L26" s="8" t="s">
        <v>87</v>
      </c>
      <c r="M26" s="8" t="s">
        <v>88</v>
      </c>
    </row>
    <row r="27" customFormat="false" ht="31.5" hidden="false" customHeight="true" outlineLevel="0" collapsed="false">
      <c r="A27" s="11" t="s">
        <v>80</v>
      </c>
      <c r="B27" s="11" t="n">
        <v>2</v>
      </c>
      <c r="C27" s="11" t="s">
        <v>81</v>
      </c>
      <c r="D27" s="11" t="s">
        <v>89</v>
      </c>
      <c r="E27" s="11" t="s">
        <v>151</v>
      </c>
      <c r="F27" s="11" t="s">
        <v>152</v>
      </c>
      <c r="G27" s="12" t="s">
        <v>153</v>
      </c>
      <c r="H27" s="11" t="s">
        <v>31</v>
      </c>
      <c r="I27" s="11" t="s">
        <v>34</v>
      </c>
      <c r="J27" s="17" t="n">
        <v>3</v>
      </c>
      <c r="K27" s="11" t="s">
        <v>154</v>
      </c>
      <c r="L27" s="11" t="s">
        <v>87</v>
      </c>
      <c r="M27" s="11" t="s">
        <v>88</v>
      </c>
    </row>
    <row r="28" customFormat="false" ht="31.5" hidden="false" customHeight="true" outlineLevel="0" collapsed="false">
      <c r="A28" s="8" t="s">
        <v>80</v>
      </c>
      <c r="B28" s="8" t="n">
        <v>2</v>
      </c>
      <c r="C28" s="8" t="s">
        <v>81</v>
      </c>
      <c r="D28" s="8" t="s">
        <v>82</v>
      </c>
      <c r="E28" s="8" t="s">
        <v>155</v>
      </c>
      <c r="F28" s="8" t="s">
        <v>84</v>
      </c>
      <c r="G28" s="13" t="s">
        <v>156</v>
      </c>
      <c r="H28" s="8" t="s">
        <v>42</v>
      </c>
      <c r="I28" s="8"/>
      <c r="J28" s="8" t="n">
        <v>0</v>
      </c>
      <c r="K28" s="8" t="s">
        <v>157</v>
      </c>
      <c r="L28" s="8" t="s">
        <v>87</v>
      </c>
      <c r="M28" s="8" t="s">
        <v>88</v>
      </c>
    </row>
    <row r="29" customFormat="false" ht="31.5" hidden="false" customHeight="true" outlineLevel="0" collapsed="false">
      <c r="A29" s="11" t="s">
        <v>80</v>
      </c>
      <c r="B29" s="11" t="n">
        <v>2</v>
      </c>
      <c r="C29" s="11" t="s">
        <v>81</v>
      </c>
      <c r="D29" s="11" t="s">
        <v>93</v>
      </c>
      <c r="E29" s="11" t="s">
        <v>158</v>
      </c>
      <c r="F29" s="11" t="s">
        <v>95</v>
      </c>
      <c r="G29" s="12" t="s">
        <v>159</v>
      </c>
      <c r="H29" s="11" t="s">
        <v>31</v>
      </c>
      <c r="I29" s="11" t="s">
        <v>49</v>
      </c>
      <c r="J29" s="11" t="n">
        <v>0</v>
      </c>
      <c r="K29" s="11" t="s">
        <v>160</v>
      </c>
      <c r="L29" s="11" t="s">
        <v>87</v>
      </c>
      <c r="M29" s="11" t="s">
        <v>88</v>
      </c>
    </row>
    <row r="30" customFormat="false" ht="31.5" hidden="false" customHeight="true" outlineLevel="0" collapsed="false">
      <c r="A30" s="8" t="s">
        <v>80</v>
      </c>
      <c r="B30" s="8" t="n">
        <v>2</v>
      </c>
      <c r="C30" s="8" t="s">
        <v>81</v>
      </c>
      <c r="D30" s="8" t="s">
        <v>89</v>
      </c>
      <c r="E30" s="8" t="s">
        <v>161</v>
      </c>
      <c r="F30" s="8" t="s">
        <v>162</v>
      </c>
      <c r="G30" s="13" t="s">
        <v>163</v>
      </c>
      <c r="H30" s="8" t="s">
        <v>31</v>
      </c>
      <c r="I30" s="8"/>
      <c r="J30" s="16" t="n">
        <v>-4</v>
      </c>
      <c r="K30" s="8" t="s">
        <v>160</v>
      </c>
      <c r="L30" s="8" t="s">
        <v>87</v>
      </c>
      <c r="M30" s="8" t="s">
        <v>88</v>
      </c>
    </row>
    <row r="32" customFormat="false" ht="15" hidden="false" customHeight="false" outlineLevel="0" collapsed="false">
      <c r="A32" s="18" t="s">
        <v>164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</sheetData>
  <mergeCells count="3">
    <mergeCell ref="A1:M1"/>
    <mergeCell ref="A2:M2"/>
    <mergeCell ref="A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9" t="s">
        <v>166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15" hidden="false" customHeight="false" outlineLevel="0" collapsed="false">
      <c r="A4" s="19" t="s">
        <v>167</v>
      </c>
    </row>
    <row r="5" customFormat="false" ht="30" hidden="false" customHeight="true" outlineLevel="0" collapsed="false">
      <c r="A5" s="10" t="s">
        <v>168</v>
      </c>
      <c r="B5" s="10" t="s">
        <v>169</v>
      </c>
      <c r="C5" s="10" t="s">
        <v>170</v>
      </c>
      <c r="D5" s="10" t="s">
        <v>171</v>
      </c>
      <c r="E5" s="10" t="s">
        <v>172</v>
      </c>
      <c r="F5" s="10" t="s">
        <v>173</v>
      </c>
      <c r="G5" s="10" t="s">
        <v>174</v>
      </c>
      <c r="H5" s="10" t="s">
        <v>175</v>
      </c>
    </row>
    <row r="6" customFormat="false" ht="15" hidden="false" customHeight="false" outlineLevel="0" collapsed="false">
      <c r="A6" s="20" t="n">
        <v>1</v>
      </c>
      <c r="B6" s="20" t="n">
        <v>1</v>
      </c>
      <c r="C6" s="20" t="n">
        <v>3</v>
      </c>
      <c r="D6" s="20" t="n">
        <v>-3</v>
      </c>
      <c r="E6" s="20" t="n">
        <v>3</v>
      </c>
      <c r="F6" s="20" t="n">
        <v>3</v>
      </c>
      <c r="G6" s="20" t="n">
        <v>-2</v>
      </c>
      <c r="H6" s="20" t="n">
        <v>2</v>
      </c>
    </row>
    <row r="8" customFormat="false" ht="15" hidden="false" customHeight="false" outlineLevel="0" collapsed="false">
      <c r="A8" s="19" t="s">
        <v>176</v>
      </c>
    </row>
    <row r="9" customFormat="false" ht="33.75" hidden="false" customHeight="true" outlineLevel="0" collapsed="false">
      <c r="A9" s="10" t="s">
        <v>71</v>
      </c>
      <c r="B9" s="10" t="s">
        <v>177</v>
      </c>
      <c r="C9" s="10" t="s">
        <v>178</v>
      </c>
      <c r="D9" s="10" t="s">
        <v>179</v>
      </c>
      <c r="E9" s="10" t="s">
        <v>180</v>
      </c>
      <c r="F9" s="10" t="s">
        <v>181</v>
      </c>
      <c r="G9" s="10" t="s">
        <v>182</v>
      </c>
      <c r="H9" s="10" t="s">
        <v>183</v>
      </c>
      <c r="I9" s="10" t="s">
        <v>184</v>
      </c>
      <c r="J9" s="10" t="s">
        <v>185</v>
      </c>
      <c r="K9" s="10" t="s">
        <v>186</v>
      </c>
    </row>
    <row r="10" customFormat="false" ht="18" hidden="false" customHeight="true" outlineLevel="0" collapsed="false">
      <c r="A10" s="21" t="s">
        <v>93</v>
      </c>
      <c r="B10" s="11" t="n">
        <f aca="false">COUNTIFS('Raw Fielding Data'!$D$7:$D$30,$A10,'Raw Fielding Data'!$H$7:$H$30,"Clean Pick")</f>
        <v>7</v>
      </c>
      <c r="C10" s="11" t="n">
        <f aca="false">COUNTIFS('Raw Fielding Data'!$D$7:$D$30,$A10,'Raw Fielding Data'!$I$7:$I$30,"Good Throw")</f>
        <v>4</v>
      </c>
      <c r="D10" s="11" t="n">
        <f aca="false">COUNTIFS('Raw Fielding Data'!$D$7:$D$30,$A10,'Raw Fielding Data'!$H$7:$H$30,"Catch")</f>
        <v>0</v>
      </c>
      <c r="E10" s="11" t="n">
        <f aca="false">COUNTIFS('Raw Fielding Data'!$D$7:$D$30,$A10,'Raw Fielding Data'!$H$7:$H$30,"Drop Catch")</f>
        <v>0</v>
      </c>
      <c r="F10" s="11" t="n">
        <f aca="false">COUNTIFS('Raw Fielding Data'!$D$7:$D$30,$A10,'Raw Fielding Data'!$I$7:$I$30,"Stumping")</f>
        <v>0</v>
      </c>
      <c r="G10" s="11" t="n">
        <f aca="false">COUNTIFS('Raw Fielding Data'!$D$7:$D$30,$A10,'Raw Fielding Data'!$I$7:$I$30,"Run Out")</f>
        <v>1</v>
      </c>
      <c r="H10" s="11" t="n">
        <f aca="false">COUNTIFS('Raw Fielding Data'!$D$7:$D$30,$A10,'Raw Fielding Data'!$I$7:$I$30,"Missed Run Out")</f>
        <v>1</v>
      </c>
      <c r="I10" s="11" t="n">
        <f aca="false">COUNTIFS('Raw Fielding Data'!$D$7:$D$30,$A10,'Raw Fielding Data'!$I$7:$I$30,"Direct Hit")</f>
        <v>1</v>
      </c>
      <c r="J10" s="11" t="n">
        <f aca="false">SUMIFS('Raw Fielding Data'!$J$7:$J$30,'Raw Fielding Data'!$D$7:$D$30,$A10)</f>
        <v>-1</v>
      </c>
      <c r="K10" s="22" t="n">
        <f aca="false">(B10*$A$6)+(C10*$B$6)+(D10*$C$6)+(E10*$D$6)+(F10*$E$6)+(G10*$F$6)+(H10*$G$6)+(I10*$H$6)+J10</f>
        <v>13</v>
      </c>
    </row>
    <row r="11" customFormat="false" ht="18" hidden="false" customHeight="true" outlineLevel="0" collapsed="false">
      <c r="A11" s="23" t="s">
        <v>89</v>
      </c>
      <c r="B11" s="8" t="n">
        <f aca="false">COUNTIFS('Raw Fielding Data'!$D$7:$D$30,$A11,'Raw Fielding Data'!$H$7:$H$30,"Clean Pick")</f>
        <v>5</v>
      </c>
      <c r="C11" s="8" t="n">
        <f aca="false">COUNTIFS('Raw Fielding Data'!$D$7:$D$30,$A11,'Raw Fielding Data'!$I$7:$I$30,"Good Throw")</f>
        <v>3</v>
      </c>
      <c r="D11" s="8" t="n">
        <f aca="false">COUNTIFS('Raw Fielding Data'!$D$7:$D$30,$A11,'Raw Fielding Data'!$H$7:$H$30,"Catch")</f>
        <v>2</v>
      </c>
      <c r="E11" s="8" t="n">
        <f aca="false">COUNTIFS('Raw Fielding Data'!$D$7:$D$30,$A11,'Raw Fielding Data'!$H$7:$H$30,"Drop Catch")</f>
        <v>0</v>
      </c>
      <c r="F11" s="8" t="n">
        <f aca="false">COUNTIFS('Raw Fielding Data'!$D$7:$D$30,$A11,'Raw Fielding Data'!$I$7:$I$30,"Stumping")</f>
        <v>0</v>
      </c>
      <c r="G11" s="8" t="n">
        <f aca="false">COUNTIFS('Raw Fielding Data'!$D$7:$D$30,$A11,'Raw Fielding Data'!$I$7:$I$30,"Run Out")</f>
        <v>1</v>
      </c>
      <c r="H11" s="8" t="n">
        <f aca="false">COUNTIFS('Raw Fielding Data'!$D$7:$D$30,$A11,'Raw Fielding Data'!$I$7:$I$30,"Missed Run Out")</f>
        <v>0</v>
      </c>
      <c r="I11" s="8" t="n">
        <f aca="false">COUNTIFS('Raw Fielding Data'!$D$7:$D$30,$A11,'Raw Fielding Data'!$I$7:$I$30,"Direct Hit")</f>
        <v>0</v>
      </c>
      <c r="J11" s="8" t="n">
        <f aca="false">SUMIFS('Raw Fielding Data'!$J$7:$J$30,'Raw Fielding Data'!$D$7:$D$30,$A11)</f>
        <v>-1</v>
      </c>
      <c r="K11" s="22" t="n">
        <f aca="false">(B11*$A$6)+(C11*$B$6)+(D11*$C$6)+(E11*$D$6)+(F11*$E$6)+(G11*$F$6)+(H11*$G$6)+(I11*$H$6)+J11</f>
        <v>16</v>
      </c>
    </row>
    <row r="12" customFormat="false" ht="18" hidden="false" customHeight="true" outlineLevel="0" collapsed="false">
      <c r="A12" s="21" t="s">
        <v>82</v>
      </c>
      <c r="B12" s="11" t="n">
        <f aca="false">COUNTIFS('Raw Fielding Data'!$D$7:$D$30,$A12,'Raw Fielding Data'!$H$7:$H$30,"Clean Pick")</f>
        <v>3</v>
      </c>
      <c r="C12" s="11" t="n">
        <f aca="false">COUNTIFS('Raw Fielding Data'!$D$7:$D$30,$A12,'Raw Fielding Data'!$I$7:$I$30,"Good Throw")</f>
        <v>3</v>
      </c>
      <c r="D12" s="11" t="n">
        <f aca="false">COUNTIFS('Raw Fielding Data'!$D$7:$D$30,$A12,'Raw Fielding Data'!$H$7:$H$30,"Catch")</f>
        <v>2</v>
      </c>
      <c r="E12" s="11" t="n">
        <f aca="false">COUNTIFS('Raw Fielding Data'!$D$7:$D$30,$A12,'Raw Fielding Data'!$H$7:$H$30,"Drop Catch")</f>
        <v>1</v>
      </c>
      <c r="F12" s="11" t="n">
        <f aca="false">COUNTIFS('Raw Fielding Data'!$D$7:$D$30,$A12,'Raw Fielding Data'!$I$7:$I$30,"Stumping")</f>
        <v>0</v>
      </c>
      <c r="G12" s="11" t="n">
        <f aca="false">COUNTIFS('Raw Fielding Data'!$D$7:$D$30,$A12,'Raw Fielding Data'!$I$7:$I$30,"Run Out")</f>
        <v>0</v>
      </c>
      <c r="H12" s="11" t="n">
        <f aca="false">COUNTIFS('Raw Fielding Data'!$D$7:$D$30,$A12,'Raw Fielding Data'!$I$7:$I$30,"Missed Run Out")</f>
        <v>0</v>
      </c>
      <c r="I12" s="11" t="n">
        <f aca="false">COUNTIFS('Raw Fielding Data'!$D$7:$D$30,$A12,'Raw Fielding Data'!$I$7:$I$30,"Direct Hit")</f>
        <v>0</v>
      </c>
      <c r="J12" s="11" t="n">
        <f aca="false">SUMIFS('Raw Fielding Data'!$J$7:$J$30,'Raw Fielding Data'!$D$7:$D$30,$A12)</f>
        <v>1</v>
      </c>
      <c r="K12" s="22" t="n">
        <f aca="false">(B12*$A$6)+(C12*$B$6)+(D12*$C$6)+(E12*$D$6)+(F12*$E$6)+(G12*$F$6)+(H12*$G$6)+(I12*$H$6)+J12</f>
        <v>10</v>
      </c>
    </row>
    <row r="15" customFormat="false" ht="15" hidden="false" customHeight="false" outlineLevel="0" collapsed="false">
      <c r="A15" s="4" t="s">
        <v>187</v>
      </c>
    </row>
    <row r="16" customFormat="false" ht="15" hidden="false" customHeight="false" outlineLevel="0" collapsed="false">
      <c r="A16" s="24" t="s">
        <v>188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8" customFormat="false" ht="15" hidden="false" customHeight="false" outlineLevel="0" collapsed="false">
      <c r="A18" s="2" t="s">
        <v>189</v>
      </c>
    </row>
    <row r="19" customFormat="false" ht="15" hidden="false" customHeight="false" outlineLevel="0" collapsed="false">
      <c r="A19" s="5" t="s">
        <v>190</v>
      </c>
      <c r="B19" s="5"/>
      <c r="C19" s="5"/>
      <c r="D19" s="5"/>
      <c r="E19" s="5"/>
    </row>
    <row r="20" customFormat="false" ht="15" hidden="false" customHeight="false" outlineLevel="0" collapsed="false">
      <c r="A20" s="5" t="s">
        <v>191</v>
      </c>
      <c r="B20" s="5"/>
      <c r="C20" s="5"/>
      <c r="D20" s="5"/>
      <c r="E20" s="5"/>
    </row>
    <row r="21" customFormat="false" ht="15" hidden="false" customHeight="false" outlineLevel="0" collapsed="false">
      <c r="A21" s="5" t="s">
        <v>192</v>
      </c>
      <c r="B21" s="5"/>
      <c r="C21" s="5"/>
      <c r="D21" s="5"/>
      <c r="E21" s="5"/>
    </row>
    <row r="22" customFormat="false" ht="15" hidden="false" customHeight="false" outlineLevel="0" collapsed="false">
      <c r="A22" s="5" t="s">
        <v>193</v>
      </c>
      <c r="B22" s="5"/>
      <c r="C22" s="5"/>
      <c r="D22" s="5"/>
      <c r="E22" s="5"/>
    </row>
    <row r="23" customFormat="false" ht="15" hidden="false" customHeight="false" outlineLevel="0" collapsed="false">
      <c r="A23" s="5" t="s">
        <v>194</v>
      </c>
      <c r="B23" s="5"/>
      <c r="C23" s="5"/>
      <c r="D23" s="5"/>
      <c r="E23" s="5"/>
    </row>
    <row r="24" customFormat="false" ht="15" hidden="false" customHeight="false" outlineLevel="0" collapsed="false">
      <c r="A24" s="5" t="s">
        <v>195</v>
      </c>
      <c r="B24" s="5"/>
      <c r="C24" s="5"/>
      <c r="D24" s="5"/>
      <c r="E24" s="5"/>
    </row>
    <row r="25" customFormat="false" ht="15" hidden="false" customHeight="false" outlineLevel="0" collapsed="false">
      <c r="A25" s="5" t="s">
        <v>196</v>
      </c>
      <c r="B25" s="5"/>
      <c r="C25" s="5"/>
      <c r="D25" s="5"/>
      <c r="E25" s="5"/>
    </row>
    <row r="26" customFormat="false" ht="15" hidden="false" customHeight="false" outlineLevel="0" collapsed="false">
      <c r="A26" s="5" t="s">
        <v>197</v>
      </c>
      <c r="B26" s="5"/>
      <c r="C26" s="5"/>
      <c r="D26" s="5"/>
      <c r="E26" s="5"/>
    </row>
    <row r="27" customFormat="false" ht="15" hidden="false" customHeight="false" outlineLevel="0" collapsed="false">
      <c r="A27" s="5" t="s">
        <v>198</v>
      </c>
      <c r="B27" s="5"/>
      <c r="C27" s="5"/>
      <c r="D27" s="5"/>
      <c r="E27" s="5"/>
    </row>
  </sheetData>
  <mergeCells count="12">
    <mergeCell ref="A1:M1"/>
    <mergeCell ref="A2:M2"/>
    <mergeCell ref="A16:K16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2026-06-20T14:34:50Z</dcterms:created>
  <dc:creator>openpyxl</dc:creator>
  <dc:description/>
  <dc:language>en-US</dc:language>
  <cp:lastModifiedBy/>
  <dcterms:modified xsi:type="dcterms:W3CDTF">2026-06-20T14:36:07Z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