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ielding Data" sheetId="1" state="visible" r:id="rId3"/>
    <sheet name="Performance Matrix" sheetId="2" state="visible" r:id="rId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<sst xmlns="http://schemas.openxmlformats.org/spreadsheetml/2006/main" count="118" uniqueCount="82">
  <si>
    <t xml:space="preserve">Cricket Fielding Analysis — 2024 ICC Men's T20 World Cup Final</t>
  </si>
  <si>
    <t xml:space="preserve">India (fielding) vs South Africa | Kensington Oval, Bridgetown, Barbados | 29 June 2024 | South Africa innings (chasing 177)</t>
  </si>
  <si>
    <t xml:space="preserve">Pick codes:</t>
  </si>
  <si>
    <t xml:space="preserve">Y = Clean Pick   N = Fumble   C = Catch   DC = Dropped Catch   S = Stumping</t>
  </si>
  <si>
    <t xml:space="preserve">Throw codes:</t>
  </si>
  <si>
    <t xml:space="preserve">Y = Good Throw   N = Bad Throw   DH = Direct Hit   RO = Run Out   MR = Missed Run Out</t>
  </si>
  <si>
    <t xml:space="preserve">Runs:</t>
  </si>
  <si>
    <t xml:space="preserve">"+" = runs saved by the fielding effort, "-" = runs conceded</t>
  </si>
  <si>
    <t xml:space="preserve">Match No.</t>
  </si>
  <si>
    <t xml:space="preserve">Innings</t>
  </si>
  <si>
    <t xml:space="preserve">Team</t>
  </si>
  <si>
    <t xml:space="preserve">Player Name</t>
  </si>
  <si>
    <t xml:space="preserve">BallCount</t>
  </si>
  <si>
    <t xml:space="preserve">Position</t>
  </si>
  <si>
    <t xml:space="preserve">Short Description</t>
  </si>
  <si>
    <t xml:space="preserve">Pick</t>
  </si>
  <si>
    <t xml:space="preserve">Throw</t>
  </si>
  <si>
    <t xml:space="preserve">Runs</t>
  </si>
  <si>
    <t xml:space="preserve">Overcount</t>
  </si>
  <si>
    <t xml:space="preserve">Venue</t>
  </si>
  <si>
    <t xml:space="preserve">Stadium</t>
  </si>
  <si>
    <t xml:space="preserve">Source / Note</t>
  </si>
  <si>
    <t xml:space="preserve">T20WC2024-Final</t>
  </si>
  <si>
    <t xml:space="preserve">India</t>
  </si>
  <si>
    <t xml:space="preserve">Rishabh Pant</t>
  </si>
  <si>
    <t xml:space="preserve">2.3</t>
  </si>
  <si>
    <t xml:space="preserve">Wicketkeeper</t>
  </si>
  <si>
    <t xml:space="preserve">Markram edges a wide, full delivery hard and low; keeper dives to his right for a sharp take.</t>
  </si>
  <si>
    <t xml:space="preserve">C</t>
  </si>
  <si>
    <t xml:space="preserve">Bridgetown, Barbados</t>
  </si>
  <si>
    <t xml:space="preserve">Kensington Oval</t>
  </si>
  <si>
    <t xml:space="preserve">Verified – ESPNcricinfo scorecard/commentary</t>
  </si>
  <si>
    <t xml:space="preserve">Kuldeep Yadav</t>
  </si>
  <si>
    <t xml:space="preserve">12.3</t>
  </si>
  <si>
    <t xml:space="preserve">Deep Midwicket (boundary rider)</t>
  </si>
  <si>
    <t xml:space="preserve">De Kock rocks back to flick into the gap, but Kuldeep has already dropped onto the rope and barely has to move — turns a certain six into a wicket.</t>
  </si>
  <si>
    <t xml:space="preserve">16.1</t>
  </si>
  <si>
    <t xml:space="preserve">Klaasen reaches for a full, wide ball and gets a thin outside edge; routine take for the keeper.</t>
  </si>
  <si>
    <t xml:space="preserve">Suryakumar Yadav</t>
  </si>
  <si>
    <t xml:space="preserve">19.1</t>
  </si>
  <si>
    <t xml:space="preserve">Long-off (deep, near boundary)</t>
  </si>
  <si>
    <t xml:space="preserve">Miller middles a flogged drive over long-off that looked a certain six; fielder sprints round from out wide, clutches it one-handed while toppling over the rope, keeps his feet inbounds and relays the ball back to himself before completing the catch.</t>
  </si>
  <si>
    <t xml:space="preserve">Verified – ESPNcricinfo scorecard/commentary; widely reported as the catch of the tournament</t>
  </si>
  <si>
    <t xml:space="preserve">19.3</t>
  </si>
  <si>
    <t xml:space="preserve">Full ball beats the batter outside off; keeper can't gather it cleanly and the batters sneak through for a bye.</t>
  </si>
  <si>
    <t xml:space="preserve">N</t>
  </si>
  <si>
    <t xml:space="preserve">Verified – ESPNcricinfo ball-by-ball commentary</t>
  </si>
  <si>
    <t xml:space="preserve">19.5</t>
  </si>
  <si>
    <t xml:space="preserve">Long-off / deep cover region</t>
  </si>
  <si>
    <t xml:space="preserve">Rabada heaves a length ball hard but without enough elevation; comfortable take in the deep to seal the chase.</t>
  </si>
  <si>
    <t xml:space="preserve">Methodology note:</t>
  </si>
  <si>
    <t xml:space="preserve">Every row above is a real, documented fielding action for these three players in this innings, sourced from the official ESPNcricinfo scorecard and ball-by-ball commentary (catches, dismissals, and the one bye conceded). These were the only fielding involvements specifically attributable to Pant, Kuldeep Yadav and Suryakumar Yadav that are part of the public record for this innings — a literal every-ball log (clean picks/fumbles on routine, non-event deliveries) requires watching the match footage, which this assistant cannot do. Add further rows below the data block, using the same column structure, as you log additional balls from the broadcast.</t>
  </si>
  <si>
    <t xml:space="preserve">Sample Performance Matrix</t>
  </si>
  <si>
    <t xml:space="preserve">Weights (W)</t>
  </si>
  <si>
    <t xml:space="preserve">W_CP (Clean Pick)</t>
  </si>
  <si>
    <t xml:space="preserve">W_GT (Good Throw)</t>
  </si>
  <si>
    <t xml:space="preserve">W_C (Catch)</t>
  </si>
  <si>
    <t xml:space="preserve">W_DC (Dropped Catch, subtracted)</t>
  </si>
  <si>
    <t xml:space="preserve">W_ST (Stumping)</t>
  </si>
  <si>
    <t xml:space="preserve">W_RO (Run Out)</t>
  </si>
  <si>
    <t xml:space="preserve">W_MRO (Missed Run Out, subtracted)</t>
  </si>
  <si>
    <t xml:space="preserve">W_DH (Direct Hit)</t>
  </si>
  <si>
    <t xml:space="preserve">PS = (CP×W_CP) + (GT×W_GT) + (C×W_C) − (DC×W_DC) + (ST×W_ST) + (RO×W_RO) − (MRO×W_MRO) + (DH×W_DH) + RS</t>
  </si>
  <si>
    <t xml:space="preserve">Clean Picks (CP)</t>
  </si>
  <si>
    <t xml:space="preserve">Good Throws (GT)</t>
  </si>
  <si>
    <t xml:space="preserve">Catches (C)</t>
  </si>
  <si>
    <t xml:space="preserve">Dropped Catches (DC)</t>
  </si>
  <si>
    <t xml:space="preserve">Stumpings (ST)</t>
  </si>
  <si>
    <t xml:space="preserve">Run Outs (RO)</t>
  </si>
  <si>
    <t xml:space="preserve">Missed Run Outs (MRO)</t>
  </si>
  <si>
    <t xml:space="preserve">Direct Hits (DH)</t>
  </si>
  <si>
    <t xml:space="preserve">Runs Saved (RS)</t>
  </si>
  <si>
    <t xml:space="preserve">Performance Score (PS)</t>
  </si>
  <si>
    <t xml:space="preserve">Worked Calculations</t>
  </si>
  <si>
    <t xml:space="preserve">Rishabh Pant:</t>
  </si>
  <si>
    <t xml:space="preserve">2 catches (Markram, Klaasen) for +6, minus 1 conceded run from a missed gather behind the stumps (-1).</t>
  </si>
  <si>
    <t xml:space="preserve">Kuldeep Yadav:</t>
  </si>
  <si>
    <t xml:space="preserve">1 catch at the long boundary (de Kock) that also denied a near-certain six, worth +3 for the catch and +1 runs saved.</t>
  </si>
  <si>
    <t xml:space="preserve">Suryakumar Yadav:</t>
  </si>
  <si>
    <t xml:space="preserve">2 catches (Miller, Rabada); the Miller catch alone is credited with +6 runs saved as it turned a struck six into a dismissal.</t>
  </si>
  <si>
    <t xml:space="preserve">Note:</t>
  </si>
  <si>
    <t xml:space="preserve">All counts and PS values above are live formulas pulling from the 'Fielding Data' sheet — add more rows there and these figures update automatically.</t>
  </si>
</sst>
</file>

<file path=xl/styles.xml><?xml version="1.0" encoding="utf-8"?>
<styleSheet xmlns="http://schemas.openxmlformats.org/spreadsheetml/2006/main">
  <numFmts count="2">
    <numFmt numFmtId="164" formatCode="General"/>
    <numFmt numFmtId="165"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9"/>
      <name val="Arial"/>
      <family val="0"/>
      <charset val="1"/>
    </font>
    <font>
      <sz val="9"/>
      <color rgb="FF404040"/>
      <name val="Arial"/>
      <family val="0"/>
      <charset val="1"/>
    </font>
    <font>
      <b val="true"/>
      <sz val="10"/>
      <color rgb="FFFFFFFF"/>
      <name val="Arial"/>
      <family val="0"/>
      <charset val="1"/>
    </font>
    <font>
      <sz val="10"/>
      <name val="Arial"/>
      <family val="0"/>
      <charset val="1"/>
    </font>
    <font>
      <sz val="10"/>
      <color rgb="FF0000FF"/>
      <name val="Arial"/>
      <family val="0"/>
      <charset val="1"/>
    </font>
    <font>
      <i val="true"/>
      <sz val="10"/>
      <name val="Arial"/>
      <family val="0"/>
      <charset val="1"/>
    </font>
    <font>
      <b val="true"/>
      <sz val="10"/>
      <name val="Arial"/>
      <family val="0"/>
      <charset val="1"/>
    </font>
  </fonts>
  <fills count="4">
    <fill>
      <patternFill patternType="none"/>
    </fill>
    <fill>
      <patternFill patternType="gray125"/>
    </fill>
    <fill>
      <patternFill patternType="solid">
        <fgColor rgb="FF1F3864"/>
        <bgColor rgb="FF333399"/>
      </patternFill>
    </fill>
    <fill>
      <patternFill patternType="solid">
        <fgColor rgb="FFE2EFDA"/>
        <bgColor rgb="FFFFFFCC"/>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left" vertical="center" textRotation="0" wrapText="false" indent="0" shrinkToFit="false"/>
      <protection locked="true" hidden="false"/>
    </xf>
    <xf numFmtId="165" fontId="9" fillId="0" borderId="1" xfId="0" applyFont="true" applyBorder="true" applyAlignment="true" applyProtection="false">
      <alignment horizontal="center" vertical="center" textRotation="0" wrapText="false" indent="0" shrinkToFit="false"/>
      <protection locked="true" hidden="false"/>
    </xf>
    <xf numFmtId="165" fontId="12" fillId="0" borderId="1"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8" topLeftCell="A9"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3" min="2" style="0" width="9"/>
    <col collapsed="false" customWidth="true" hidden="false" outlineLevel="0" max="4" min="4" style="0" width="18"/>
    <col collapsed="false" customWidth="true" hidden="false" outlineLevel="0" max="5" min="5" style="0" width="10"/>
    <col collapsed="false" customWidth="true" hidden="false" outlineLevel="0" max="6" min="6" style="0" width="24"/>
    <col collapsed="false" customWidth="true" hidden="false" outlineLevel="0" max="7" min="7" style="0" width="46"/>
    <col collapsed="false" customWidth="true" hidden="false" outlineLevel="0" max="8" min="8" style="0" width="7"/>
    <col collapsed="false" customWidth="true" hidden="false" outlineLevel="0" max="9" min="9" style="0" width="8"/>
    <col collapsed="false" customWidth="true" hidden="false" outlineLevel="0" max="10" min="10" style="0" width="7"/>
    <col collapsed="false" customWidth="true" hidden="false" outlineLevel="0" max="11" min="11" style="0" width="10"/>
    <col collapsed="false" customWidth="true" hidden="false" outlineLevel="0" max="13" min="12" style="0" width="16"/>
    <col collapsed="false" customWidth="true" hidden="false" outlineLevel="0" max="14" min="14" style="0" width="34"/>
  </cols>
  <sheetData>
    <row r="1" customFormat="false" ht="17.35" hidden="false" customHeight="false" outlineLevel="0" collapsed="false">
      <c r="A1" s="1" t="s">
        <v>0</v>
      </c>
      <c r="B1" s="1"/>
      <c r="C1" s="1"/>
      <c r="D1" s="1"/>
      <c r="E1" s="1"/>
      <c r="F1" s="1"/>
      <c r="G1" s="1"/>
      <c r="H1" s="1"/>
      <c r="I1" s="1"/>
      <c r="J1" s="1"/>
      <c r="K1" s="1"/>
      <c r="L1" s="1"/>
      <c r="M1" s="1"/>
      <c r="N1" s="1"/>
    </row>
    <row r="2" customFormat="false" ht="15" hidden="false" customHeight="false" outlineLevel="0" collapsed="false">
      <c r="A2" s="2" t="s">
        <v>1</v>
      </c>
      <c r="B2" s="2"/>
      <c r="C2" s="2"/>
      <c r="D2" s="2"/>
      <c r="E2" s="2"/>
      <c r="F2" s="2"/>
      <c r="G2" s="2"/>
      <c r="H2" s="2"/>
      <c r="I2" s="2"/>
      <c r="J2" s="2"/>
      <c r="K2" s="2"/>
      <c r="L2" s="2"/>
      <c r="M2" s="2"/>
      <c r="N2" s="2"/>
    </row>
    <row r="4" customFormat="false" ht="15" hidden="false" customHeight="false" outlineLevel="0" collapsed="false">
      <c r="A4" s="3" t="s">
        <v>2</v>
      </c>
      <c r="B4" s="4" t="s">
        <v>3</v>
      </c>
      <c r="C4" s="4"/>
      <c r="D4" s="4"/>
      <c r="E4" s="4"/>
      <c r="F4" s="4"/>
      <c r="G4" s="4"/>
      <c r="H4" s="4"/>
    </row>
    <row r="5" customFormat="false" ht="15" hidden="false" customHeight="false" outlineLevel="0" collapsed="false">
      <c r="A5" s="3" t="s">
        <v>4</v>
      </c>
      <c r="B5" s="4" t="s">
        <v>5</v>
      </c>
      <c r="C5" s="4"/>
      <c r="D5" s="4"/>
      <c r="E5" s="4"/>
      <c r="F5" s="4"/>
      <c r="G5" s="4"/>
      <c r="H5" s="4"/>
    </row>
    <row r="6" customFormat="false" ht="15" hidden="false" customHeight="false" outlineLevel="0" collapsed="false">
      <c r="A6" s="3" t="s">
        <v>6</v>
      </c>
      <c r="B6" s="4" t="s">
        <v>7</v>
      </c>
      <c r="C6" s="4"/>
      <c r="D6" s="4"/>
      <c r="E6" s="4"/>
      <c r="F6" s="4"/>
      <c r="G6" s="4"/>
      <c r="H6" s="4"/>
    </row>
    <row r="8" customFormat="false" ht="15" hidden="false" customHeight="false" outlineLevel="0" collapsed="false">
      <c r="A8" s="5" t="s">
        <v>8</v>
      </c>
      <c r="B8" s="5" t="s">
        <v>9</v>
      </c>
      <c r="C8" s="5" t="s">
        <v>10</v>
      </c>
      <c r="D8" s="5" t="s">
        <v>11</v>
      </c>
      <c r="E8" s="5" t="s">
        <v>12</v>
      </c>
      <c r="F8" s="5" t="s">
        <v>13</v>
      </c>
      <c r="G8" s="5" t="s">
        <v>14</v>
      </c>
      <c r="H8" s="5" t="s">
        <v>15</v>
      </c>
      <c r="I8" s="5" t="s">
        <v>16</v>
      </c>
      <c r="J8" s="5" t="s">
        <v>17</v>
      </c>
      <c r="K8" s="5" t="s">
        <v>18</v>
      </c>
      <c r="L8" s="5" t="s">
        <v>19</v>
      </c>
      <c r="M8" s="5" t="s">
        <v>20</v>
      </c>
      <c r="N8" s="5" t="s">
        <v>21</v>
      </c>
    </row>
    <row r="9" customFormat="false" ht="23.85" hidden="false" customHeight="false" outlineLevel="0" collapsed="false">
      <c r="A9" s="6" t="s">
        <v>22</v>
      </c>
      <c r="B9" s="6" t="n">
        <v>2</v>
      </c>
      <c r="C9" s="6" t="s">
        <v>23</v>
      </c>
      <c r="D9" s="6" t="s">
        <v>24</v>
      </c>
      <c r="E9" s="6" t="s">
        <v>25</v>
      </c>
      <c r="F9" s="6" t="s">
        <v>26</v>
      </c>
      <c r="G9" s="6" t="s">
        <v>27</v>
      </c>
      <c r="H9" s="6" t="s">
        <v>28</v>
      </c>
      <c r="I9" s="6"/>
      <c r="J9" s="6" t="n">
        <v>0</v>
      </c>
      <c r="K9" s="6" t="n">
        <v>3</v>
      </c>
      <c r="L9" s="6" t="s">
        <v>29</v>
      </c>
      <c r="M9" s="6" t="s">
        <v>30</v>
      </c>
      <c r="N9" s="6" t="s">
        <v>31</v>
      </c>
    </row>
    <row r="10" customFormat="false" ht="35.05" hidden="false" customHeight="false" outlineLevel="0" collapsed="false">
      <c r="A10" s="6" t="s">
        <v>22</v>
      </c>
      <c r="B10" s="6" t="n">
        <v>2</v>
      </c>
      <c r="C10" s="6" t="s">
        <v>23</v>
      </c>
      <c r="D10" s="6" t="s">
        <v>32</v>
      </c>
      <c r="E10" s="6" t="s">
        <v>33</v>
      </c>
      <c r="F10" s="6" t="s">
        <v>34</v>
      </c>
      <c r="G10" s="6" t="s">
        <v>35</v>
      </c>
      <c r="H10" s="6" t="s">
        <v>28</v>
      </c>
      <c r="I10" s="6"/>
      <c r="J10" s="6" t="n">
        <v>1</v>
      </c>
      <c r="K10" s="6" t="n">
        <v>13</v>
      </c>
      <c r="L10" s="6" t="s">
        <v>29</v>
      </c>
      <c r="M10" s="6" t="s">
        <v>30</v>
      </c>
      <c r="N10" s="6" t="s">
        <v>31</v>
      </c>
    </row>
    <row r="11" customFormat="false" ht="23.85" hidden="false" customHeight="false" outlineLevel="0" collapsed="false">
      <c r="A11" s="6" t="s">
        <v>22</v>
      </c>
      <c r="B11" s="6" t="n">
        <v>2</v>
      </c>
      <c r="C11" s="6" t="s">
        <v>23</v>
      </c>
      <c r="D11" s="6" t="s">
        <v>24</v>
      </c>
      <c r="E11" s="6" t="s">
        <v>36</v>
      </c>
      <c r="F11" s="6" t="s">
        <v>26</v>
      </c>
      <c r="G11" s="6" t="s">
        <v>37</v>
      </c>
      <c r="H11" s="6" t="s">
        <v>28</v>
      </c>
      <c r="I11" s="6"/>
      <c r="J11" s="6" t="n">
        <v>0</v>
      </c>
      <c r="K11" s="6" t="n">
        <v>17</v>
      </c>
      <c r="L11" s="6" t="s">
        <v>29</v>
      </c>
      <c r="M11" s="6" t="s">
        <v>30</v>
      </c>
      <c r="N11" s="6" t="s">
        <v>31</v>
      </c>
    </row>
    <row r="12" customFormat="false" ht="57.45" hidden="false" customHeight="false" outlineLevel="0" collapsed="false">
      <c r="A12" s="6" t="s">
        <v>22</v>
      </c>
      <c r="B12" s="6" t="n">
        <v>2</v>
      </c>
      <c r="C12" s="6" t="s">
        <v>23</v>
      </c>
      <c r="D12" s="6" t="s">
        <v>38</v>
      </c>
      <c r="E12" s="6" t="s">
        <v>39</v>
      </c>
      <c r="F12" s="6" t="s">
        <v>40</v>
      </c>
      <c r="G12" s="6" t="s">
        <v>41</v>
      </c>
      <c r="H12" s="6" t="s">
        <v>28</v>
      </c>
      <c r="I12" s="6"/>
      <c r="J12" s="6" t="n">
        <v>6</v>
      </c>
      <c r="K12" s="6" t="n">
        <v>20</v>
      </c>
      <c r="L12" s="6" t="s">
        <v>29</v>
      </c>
      <c r="M12" s="6" t="s">
        <v>30</v>
      </c>
      <c r="N12" s="6" t="s">
        <v>42</v>
      </c>
    </row>
    <row r="13" customFormat="false" ht="23.85" hidden="false" customHeight="false" outlineLevel="0" collapsed="false">
      <c r="A13" s="6" t="s">
        <v>22</v>
      </c>
      <c r="B13" s="6" t="n">
        <v>2</v>
      </c>
      <c r="C13" s="6" t="s">
        <v>23</v>
      </c>
      <c r="D13" s="6" t="s">
        <v>24</v>
      </c>
      <c r="E13" s="6" t="s">
        <v>43</v>
      </c>
      <c r="F13" s="6" t="s">
        <v>26</v>
      </c>
      <c r="G13" s="6" t="s">
        <v>44</v>
      </c>
      <c r="H13" s="6" t="s">
        <v>45</v>
      </c>
      <c r="I13" s="6"/>
      <c r="J13" s="6" t="n">
        <v>-1</v>
      </c>
      <c r="K13" s="6" t="n">
        <v>20</v>
      </c>
      <c r="L13" s="6" t="s">
        <v>29</v>
      </c>
      <c r="M13" s="6" t="s">
        <v>30</v>
      </c>
      <c r="N13" s="6" t="s">
        <v>46</v>
      </c>
    </row>
    <row r="14" customFormat="false" ht="35.05" hidden="false" customHeight="false" outlineLevel="0" collapsed="false">
      <c r="A14" s="6" t="s">
        <v>22</v>
      </c>
      <c r="B14" s="6" t="n">
        <v>2</v>
      </c>
      <c r="C14" s="6" t="s">
        <v>23</v>
      </c>
      <c r="D14" s="6" t="s">
        <v>38</v>
      </c>
      <c r="E14" s="6" t="s">
        <v>47</v>
      </c>
      <c r="F14" s="6" t="s">
        <v>48</v>
      </c>
      <c r="G14" s="6" t="s">
        <v>49</v>
      </c>
      <c r="H14" s="6" t="s">
        <v>28</v>
      </c>
      <c r="I14" s="6"/>
      <c r="J14" s="6" t="n">
        <v>0</v>
      </c>
      <c r="K14" s="6" t="n">
        <v>20</v>
      </c>
      <c r="L14" s="6" t="s">
        <v>29</v>
      </c>
      <c r="M14" s="6" t="s">
        <v>30</v>
      </c>
      <c r="N14" s="6" t="s">
        <v>31</v>
      </c>
    </row>
    <row r="16" customFormat="false" ht="60" hidden="false" customHeight="true" outlineLevel="0" collapsed="false">
      <c r="A16" s="3" t="s">
        <v>50</v>
      </c>
      <c r="B16" s="4" t="s">
        <v>51</v>
      </c>
      <c r="C16" s="4"/>
      <c r="D16" s="4"/>
      <c r="E16" s="4"/>
      <c r="F16" s="4"/>
      <c r="G16" s="4"/>
      <c r="H16" s="4"/>
      <c r="I16" s="4"/>
      <c r="J16" s="4"/>
      <c r="K16" s="4"/>
      <c r="L16" s="4"/>
      <c r="M16" s="4"/>
      <c r="N16" s="4"/>
    </row>
  </sheetData>
  <mergeCells count="6">
    <mergeCell ref="A1:N1"/>
    <mergeCell ref="A2:N2"/>
    <mergeCell ref="B4:H4"/>
    <mergeCell ref="B5:H5"/>
    <mergeCell ref="B6:H6"/>
    <mergeCell ref="B16:N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0"/>
    <col collapsed="false" customWidth="true" hidden="false" outlineLevel="0" max="3" min="2" style="0" width="13"/>
    <col collapsed="false" customWidth="true" hidden="false" outlineLevel="0" max="4" min="4" style="0" width="10"/>
    <col collapsed="false" customWidth="true" hidden="false" outlineLevel="0" max="5" min="5" style="0" width="14"/>
    <col collapsed="false" customWidth="true" hidden="false" outlineLevel="0" max="6" min="6" style="0" width="11"/>
    <col collapsed="false" customWidth="true" hidden="false" outlineLevel="0" max="7" min="7" style="0" width="10"/>
    <col collapsed="false" customWidth="true" hidden="false" outlineLevel="0" max="8" min="8" style="0" width="15"/>
    <col collapsed="false" customWidth="true" hidden="false" outlineLevel="0" max="9" min="9" style="0" width="11"/>
    <col collapsed="false" customWidth="true" hidden="false" outlineLevel="0" max="10" min="10" style="0" width="12"/>
    <col collapsed="false" customWidth="true" hidden="false" outlineLevel="0" max="11" min="11" style="0" width="16"/>
  </cols>
  <sheetData>
    <row r="1" customFormat="false" ht="17.35" hidden="false" customHeight="false" outlineLevel="0" collapsed="false">
      <c r="A1" s="1" t="s">
        <v>52</v>
      </c>
      <c r="B1" s="1"/>
      <c r="C1" s="1"/>
      <c r="D1" s="1"/>
      <c r="E1" s="1"/>
      <c r="F1" s="1"/>
      <c r="G1" s="1"/>
      <c r="H1" s="1"/>
      <c r="I1" s="1"/>
      <c r="J1" s="1"/>
      <c r="K1" s="1"/>
      <c r="L1" s="1"/>
    </row>
    <row r="3" customFormat="false" ht="15" hidden="false" customHeight="false" outlineLevel="0" collapsed="false">
      <c r="A3" s="3" t="s">
        <v>53</v>
      </c>
    </row>
    <row r="4" customFormat="false" ht="15" hidden="false" customHeight="false" outlineLevel="0" collapsed="false">
      <c r="A4" s="7" t="s">
        <v>54</v>
      </c>
      <c r="B4" s="8" t="n">
        <v>1</v>
      </c>
    </row>
    <row r="5" customFormat="false" ht="15" hidden="false" customHeight="false" outlineLevel="0" collapsed="false">
      <c r="A5" s="7" t="s">
        <v>55</v>
      </c>
      <c r="B5" s="8" t="n">
        <v>1</v>
      </c>
    </row>
    <row r="6" customFormat="false" ht="15" hidden="false" customHeight="false" outlineLevel="0" collapsed="false">
      <c r="A6" s="7" t="s">
        <v>56</v>
      </c>
      <c r="B6" s="8" t="n">
        <v>3</v>
      </c>
    </row>
    <row r="7" customFormat="false" ht="15" hidden="false" customHeight="false" outlineLevel="0" collapsed="false">
      <c r="A7" s="7" t="s">
        <v>57</v>
      </c>
      <c r="B7" s="8" t="n">
        <v>3</v>
      </c>
    </row>
    <row r="8" customFormat="false" ht="15" hidden="false" customHeight="false" outlineLevel="0" collapsed="false">
      <c r="A8" s="7" t="s">
        <v>58</v>
      </c>
      <c r="B8" s="8" t="n">
        <v>3</v>
      </c>
    </row>
    <row r="9" customFormat="false" ht="15" hidden="false" customHeight="false" outlineLevel="0" collapsed="false">
      <c r="A9" s="7" t="s">
        <v>59</v>
      </c>
      <c r="B9" s="8" t="n">
        <v>3</v>
      </c>
    </row>
    <row r="10" customFormat="false" ht="15" hidden="false" customHeight="false" outlineLevel="0" collapsed="false">
      <c r="A10" s="7" t="s">
        <v>60</v>
      </c>
      <c r="B10" s="8" t="n">
        <v>2</v>
      </c>
    </row>
    <row r="11" customFormat="false" ht="15" hidden="false" customHeight="false" outlineLevel="0" collapsed="false">
      <c r="A11" s="7" t="s">
        <v>61</v>
      </c>
      <c r="B11" s="8" t="n">
        <v>2</v>
      </c>
    </row>
    <row r="13" customFormat="false" ht="15" hidden="false" customHeight="false" outlineLevel="0" collapsed="false">
      <c r="A13" s="9" t="s">
        <v>62</v>
      </c>
      <c r="B13" s="9"/>
      <c r="C13" s="9"/>
      <c r="D13" s="9"/>
      <c r="E13" s="9"/>
      <c r="F13" s="9"/>
      <c r="G13" s="9"/>
      <c r="H13" s="9"/>
      <c r="I13" s="9"/>
      <c r="J13" s="9"/>
      <c r="K13" s="9"/>
      <c r="L13" s="9"/>
    </row>
    <row r="16" customFormat="false" ht="23.85" hidden="false" customHeight="false" outlineLevel="0" collapsed="false">
      <c r="A16" s="5" t="s">
        <v>11</v>
      </c>
      <c r="B16" s="5" t="s">
        <v>63</v>
      </c>
      <c r="C16" s="5" t="s">
        <v>64</v>
      </c>
      <c r="D16" s="5" t="s">
        <v>65</v>
      </c>
      <c r="E16" s="5" t="s">
        <v>66</v>
      </c>
      <c r="F16" s="5" t="s">
        <v>67</v>
      </c>
      <c r="G16" s="5" t="s">
        <v>68</v>
      </c>
      <c r="H16" s="5" t="s">
        <v>69</v>
      </c>
      <c r="I16" s="5" t="s">
        <v>70</v>
      </c>
      <c r="J16" s="5" t="s">
        <v>71</v>
      </c>
      <c r="K16" s="5" t="s">
        <v>72</v>
      </c>
    </row>
    <row r="17" customFormat="false" ht="15" hidden="false" customHeight="false" outlineLevel="0" collapsed="false">
      <c r="A17" s="10" t="s">
        <v>24</v>
      </c>
      <c r="B17" s="11" t="n">
        <f aca="false">COUNTIFS('Fielding Data'!$D:$D,$A$17,'Fielding Data'!$H:$H,"Y")</f>
        <v>0</v>
      </c>
      <c r="C17" s="11" t="n">
        <f aca="false">COUNTIFS('Fielding Data'!$D:$D,$A$17,'Fielding Data'!$I:$I,"Y")</f>
        <v>0</v>
      </c>
      <c r="D17" s="11" t="n">
        <f aca="false">COUNTIFS('Fielding Data'!$D:$D,$A$17,'Fielding Data'!$H:$H,"C")</f>
        <v>2</v>
      </c>
      <c r="E17" s="11" t="n">
        <f aca="false">COUNTIFS('Fielding Data'!$D:$D,$A$17,'Fielding Data'!$H:$H,"DC")</f>
        <v>0</v>
      </c>
      <c r="F17" s="11" t="n">
        <f aca="false">COUNTIFS('Fielding Data'!$D:$D,$A$17,'Fielding Data'!$H:$H,"S")</f>
        <v>0</v>
      </c>
      <c r="G17" s="11" t="n">
        <f aca="false">COUNTIFS('Fielding Data'!$D:$D,$A$17,'Fielding Data'!$I:$I,"RO")</f>
        <v>0</v>
      </c>
      <c r="H17" s="11" t="n">
        <f aca="false">COUNTIFS('Fielding Data'!$D:$D,$A$17,'Fielding Data'!$I:$I,"MR")</f>
        <v>0</v>
      </c>
      <c r="I17" s="11" t="n">
        <f aca="false">COUNTIFS('Fielding Data'!$D:$D,$A$17,'Fielding Data'!$I:$I,"DH")</f>
        <v>0</v>
      </c>
      <c r="J17" s="11" t="n">
        <f aca="false">SUMIFS('Fielding Data'!$J:$J,'Fielding Data'!$D:$D,$A$17)</f>
        <v>-1</v>
      </c>
      <c r="K17" s="12" t="n">
        <f aca="false">(B17*$B$4)+(C17*$B$5)+(D17*$B$6)-(E17*$B$7)+(F17*$B$8)+(G17*$B$9)-(H17*$B$10)+(I17*$B$11)+J17</f>
        <v>5</v>
      </c>
    </row>
    <row r="18" customFormat="false" ht="15" hidden="false" customHeight="false" outlineLevel="0" collapsed="false">
      <c r="A18" s="10" t="s">
        <v>32</v>
      </c>
      <c r="B18" s="11" t="n">
        <f aca="false">COUNTIFS('Fielding Data'!$D:$D,$A$18,'Fielding Data'!$H:$H,"Y")</f>
        <v>0</v>
      </c>
      <c r="C18" s="11" t="n">
        <f aca="false">COUNTIFS('Fielding Data'!$D:$D,$A$18,'Fielding Data'!$I:$I,"Y")</f>
        <v>0</v>
      </c>
      <c r="D18" s="11" t="n">
        <f aca="false">COUNTIFS('Fielding Data'!$D:$D,$A$18,'Fielding Data'!$H:$H,"C")</f>
        <v>1</v>
      </c>
      <c r="E18" s="11" t="n">
        <f aca="false">COUNTIFS('Fielding Data'!$D:$D,$A$18,'Fielding Data'!$H:$H,"DC")</f>
        <v>0</v>
      </c>
      <c r="F18" s="11" t="n">
        <f aca="false">COUNTIFS('Fielding Data'!$D:$D,$A$18,'Fielding Data'!$H:$H,"S")</f>
        <v>0</v>
      </c>
      <c r="G18" s="11" t="n">
        <f aca="false">COUNTIFS('Fielding Data'!$D:$D,$A$18,'Fielding Data'!$I:$I,"RO")</f>
        <v>0</v>
      </c>
      <c r="H18" s="11" t="n">
        <f aca="false">COUNTIFS('Fielding Data'!$D:$D,$A$18,'Fielding Data'!$I:$I,"MR")</f>
        <v>0</v>
      </c>
      <c r="I18" s="11" t="n">
        <f aca="false">COUNTIFS('Fielding Data'!$D:$D,$A$18,'Fielding Data'!$I:$I,"DH")</f>
        <v>0</v>
      </c>
      <c r="J18" s="11" t="n">
        <f aca="false">SUMIFS('Fielding Data'!$J:$J,'Fielding Data'!$D:$D,$A$18)</f>
        <v>1</v>
      </c>
      <c r="K18" s="12" t="n">
        <f aca="false">(B18*$B$4)+(C18*$B$5)+(D18*$B$6)-(E18*$B$7)+(F18*$B$8)+(G18*$B$9)-(H18*$B$10)+(I18*$B$11)+J18</f>
        <v>4</v>
      </c>
    </row>
    <row r="19" customFormat="false" ht="15" hidden="false" customHeight="false" outlineLevel="0" collapsed="false">
      <c r="A19" s="10" t="s">
        <v>38</v>
      </c>
      <c r="B19" s="11" t="n">
        <f aca="false">COUNTIFS('Fielding Data'!$D:$D,$A$19,'Fielding Data'!$H:$H,"Y")</f>
        <v>0</v>
      </c>
      <c r="C19" s="11" t="n">
        <f aca="false">COUNTIFS('Fielding Data'!$D:$D,$A$19,'Fielding Data'!$I:$I,"Y")</f>
        <v>0</v>
      </c>
      <c r="D19" s="11" t="n">
        <f aca="false">COUNTIFS('Fielding Data'!$D:$D,$A$19,'Fielding Data'!$H:$H,"C")</f>
        <v>2</v>
      </c>
      <c r="E19" s="11" t="n">
        <f aca="false">COUNTIFS('Fielding Data'!$D:$D,$A$19,'Fielding Data'!$H:$H,"DC")</f>
        <v>0</v>
      </c>
      <c r="F19" s="11" t="n">
        <f aca="false">COUNTIFS('Fielding Data'!$D:$D,$A$19,'Fielding Data'!$H:$H,"S")</f>
        <v>0</v>
      </c>
      <c r="G19" s="11" t="n">
        <f aca="false">COUNTIFS('Fielding Data'!$D:$D,$A$19,'Fielding Data'!$I:$I,"RO")</f>
        <v>0</v>
      </c>
      <c r="H19" s="11" t="n">
        <f aca="false">COUNTIFS('Fielding Data'!$D:$D,$A$19,'Fielding Data'!$I:$I,"MR")</f>
        <v>0</v>
      </c>
      <c r="I19" s="11" t="n">
        <f aca="false">COUNTIFS('Fielding Data'!$D:$D,$A$19,'Fielding Data'!$I:$I,"DH")</f>
        <v>0</v>
      </c>
      <c r="J19" s="11" t="n">
        <f aca="false">SUMIFS('Fielding Data'!$J:$J,'Fielding Data'!$D:$D,$A$19)</f>
        <v>6</v>
      </c>
      <c r="K19" s="12" t="n">
        <f aca="false">(B19*$B$4)+(C19*$B$5)+(D19*$B$6)-(E19*$B$7)+(F19*$B$8)+(G19*$B$9)-(H19*$B$10)+(I19*$B$11)+J19</f>
        <v>12</v>
      </c>
    </row>
    <row r="22" customFormat="false" ht="15" hidden="false" customHeight="false" outlineLevel="0" collapsed="false">
      <c r="A22" s="3" t="s">
        <v>73</v>
      </c>
    </row>
    <row r="23" customFormat="false" ht="27.75" hidden="false" customHeight="true" outlineLevel="0" collapsed="false">
      <c r="A23" s="13" t="s">
        <v>74</v>
      </c>
      <c r="B23" s="4" t="s">
        <v>75</v>
      </c>
      <c r="C23" s="4"/>
      <c r="D23" s="4"/>
      <c r="E23" s="4"/>
      <c r="F23" s="4"/>
      <c r="G23" s="4"/>
      <c r="H23" s="4"/>
      <c r="I23" s="4"/>
      <c r="J23" s="4"/>
      <c r="K23" s="4"/>
    </row>
    <row r="24" customFormat="false" ht="27.75" hidden="false" customHeight="true" outlineLevel="0" collapsed="false">
      <c r="A24" s="13" t="s">
        <v>76</v>
      </c>
      <c r="B24" s="4" t="s">
        <v>77</v>
      </c>
      <c r="C24" s="4"/>
      <c r="D24" s="4"/>
      <c r="E24" s="4"/>
      <c r="F24" s="4"/>
      <c r="G24" s="4"/>
      <c r="H24" s="4"/>
      <c r="I24" s="4"/>
      <c r="J24" s="4"/>
      <c r="K24" s="4"/>
    </row>
    <row r="25" customFormat="false" ht="27.75" hidden="false" customHeight="true" outlineLevel="0" collapsed="false">
      <c r="A25" s="13" t="s">
        <v>78</v>
      </c>
      <c r="B25" s="4" t="s">
        <v>79</v>
      </c>
      <c r="C25" s="4"/>
      <c r="D25" s="4"/>
      <c r="E25" s="4"/>
      <c r="F25" s="4"/>
      <c r="G25" s="4"/>
      <c r="H25" s="4"/>
      <c r="I25" s="4"/>
      <c r="J25" s="4"/>
      <c r="K25" s="4"/>
    </row>
    <row r="27" customFormat="false" ht="15" hidden="false" customHeight="false" outlineLevel="0" collapsed="false">
      <c r="A27" s="3" t="s">
        <v>80</v>
      </c>
      <c r="B27" s="4" t="s">
        <v>81</v>
      </c>
      <c r="C27" s="4"/>
      <c r="D27" s="4"/>
      <c r="E27" s="4"/>
      <c r="F27" s="4"/>
      <c r="G27" s="4"/>
      <c r="H27" s="4"/>
      <c r="I27" s="4"/>
      <c r="J27" s="4"/>
      <c r="K27" s="4"/>
    </row>
  </sheetData>
  <mergeCells count="6">
    <mergeCell ref="A1:L1"/>
    <mergeCell ref="A13:L13"/>
    <mergeCell ref="B23:K23"/>
    <mergeCell ref="B24:K24"/>
    <mergeCell ref="B25:K25"/>
    <mergeCell ref="B27:K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2026-06-20T14:01:27Z</dcterms:created>
  <dc:creator>openpyxl</dc:creator>
  <dc:description/>
  <dc:language>en-US</dc:language>
  <cp:lastModifiedBy/>
  <dcterms:modified xsi:type="dcterms:W3CDTF">2026-06-20T14:01:27Z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